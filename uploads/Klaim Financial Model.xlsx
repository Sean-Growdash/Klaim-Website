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Y1 2027 Bootstrap" sheetId="2" r:id="rId5"/>
    <sheet state="visible" name="Y2 2028 Pre-Seed" sheetId="3" r:id="rId6"/>
    <sheet state="visible" name="Y3 2029 Seed" sheetId="4" r:id="rId7"/>
    <sheet state="visible" name="Y4 2030 Series A" sheetId="5" r:id="rId8"/>
    <sheet state="visible" name="4-Year Annual Summary" sheetId="6" r:id="rId9"/>
  </sheets>
  <definedNames/>
  <calcPr/>
  <extLst>
    <ext uri="GoogleSheetsCustomDataVersion2">
      <go:sheetsCustomData xmlns:go="http://customooxmlschemas.google.com/" r:id="rId10" roundtripDataChecksum="2ucyqLx1104cjrg6tVnwcTMnz9IkGMrGJVJQPBGUdOI="/>
    </ext>
  </extLst>
</workbook>
</file>

<file path=xl/sharedStrings.xml><?xml version="1.0" encoding="utf-8"?>
<sst xmlns="http://schemas.openxmlformats.org/spreadsheetml/2006/main" count="393" uniqueCount="273">
  <si>
    <t>KLAIM UK — MODEL ASSUMPTIONS  |  Change yellow cells to update entire model</t>
  </si>
  <si>
    <t>Yellow = input  |  Green = calculated from other assumptions  |  All P&amp;L tabs reference this sheet</t>
  </si>
  <si>
    <t>ASSUMPTION</t>
  </si>
  <si>
    <t>VALUE</t>
  </si>
  <si>
    <t>NOTES / FORMULA</t>
  </si>
  <si>
    <t>SOURCE</t>
  </si>
  <si>
    <t>CAPITAL &amp; FUNDING</t>
  </si>
  <si>
    <t>Bootstrap raise (GBP)</t>
  </si>
  <si>
    <t>Friends &amp; Family round</t>
  </si>
  <si>
    <t>Pre-launch social spend (Dec 2026)</t>
  </si>
  <si>
    <t>From bootstrap budget</t>
  </si>
  <si>
    <t>Pre-seed raise (Jan 2028)</t>
  </si>
  <si>
    <t>Target raise</t>
  </si>
  <si>
    <t>Seed raise (Jan 2029)</t>
  </si>
  <si>
    <t>Series A raise (Jan 2030)</t>
  </si>
  <si>
    <t>Pre-seed pre-money valuation</t>
  </si>
  <si>
    <t>£3M–£4M range midpoint</t>
  </si>
  <si>
    <t>SeedLegals 2025</t>
  </si>
  <si>
    <t>Seed pre-money valuation</t>
  </si>
  <si>
    <t>£8M–£12M range midpoint</t>
  </si>
  <si>
    <t>Series A pre-money valuation</t>
  </si>
  <si>
    <t>£30M–£45M range midpoint</t>
  </si>
  <si>
    <t>REVENUE MODEL</t>
  </si>
  <si>
    <t>Platform fee — standard (£/tx)</t>
  </si>
  <si>
    <t>Embedded in restaurant campaign budget</t>
  </si>
  <si>
    <t>Platform fee — premium (£/tx)</t>
  </si>
  <si>
    <t>Opt-in: featured drops + targeting</t>
  </si>
  <si>
    <t>API cost per transaction (£)</t>
  </si>
  <si>
    <t>TrueLayer + GoCardless + Nordigen</t>
  </si>
  <si>
    <t>Finexer 2026</t>
  </si>
  <si>
    <t>Net revenue per standard tx (£)</t>
  </si>
  <si>
    <t>Platform fee std minus API cost</t>
  </si>
  <si>
    <t>Net revenue per premium tx (£)</t>
  </si>
  <si>
    <t>Platform fee prem minus API cost</t>
  </si>
  <si>
    <t>Analytics subscription — blended (£/brand/month)</t>
  </si>
  <si>
    <t>£299 Insights / £599 Pro blended</t>
  </si>
  <si>
    <t>Avg locations per brand</t>
  </si>
  <si>
    <t>Multi-site restaurant groups</t>
  </si>
  <si>
    <t>Cashback offered by restaurant (£)</t>
  </si>
  <si>
    <t>Restaurant sets this amount</t>
  </si>
  <si>
    <t>Net cashback to user (£)</t>
  </si>
  <si>
    <t>Cashback offered minus platform fee</t>
  </si>
  <si>
    <t>USER ACQUISITION</t>
  </si>
  <si>
    <t>PLG referral bonus per pair (£)</t>
  </si>
  <si>
    <t>£5 referrer + £5 referred user (Klaim funded)</t>
  </si>
  <si>
    <t>PLG referral share of new users — Y1 (%)</t>
  </si>
  <si>
    <t>25% of new users via referral in Y1</t>
  </si>
  <si>
    <t>PLG referral share of new users — Y2+ (%)</t>
  </si>
  <si>
    <t>30% of new users via referral in Y2+</t>
  </si>
  <si>
    <t>Blended CAC — Y1 (£/active user)</t>
  </si>
  <si>
    <t>Low: restaurant organic + guerrilla dominant</t>
  </si>
  <si>
    <t>CAC Research 2026</t>
  </si>
  <si>
    <t>Blended CAC — Y2 (£/active user)</t>
  </si>
  <si>
    <t>Growing paid share</t>
  </si>
  <si>
    <t>Blended CAC — Y3 (£/active user)</t>
  </si>
  <si>
    <t>Paid dominant, brand building</t>
  </si>
  <si>
    <t>Blended CAC — Y4 (£/active user)</t>
  </si>
  <si>
    <t>Scale, European expansion</t>
  </si>
  <si>
    <t>UK CPI blended London (£/install)</t>
  </si>
  <si>
    <t>Meta + TikTok + ASA blended</t>
  </si>
  <si>
    <t>Admiral Media 2026</t>
  </si>
  <si>
    <t>Install to active user conversion rate (%)</t>
  </si>
  <si>
    <t>Finance app benchmark</t>
  </si>
  <si>
    <t>Paid CPA (£/active user)</t>
  </si>
  <si>
    <t>CPI divided by install-to-active rate</t>
  </si>
  <si>
    <t>HEADCOUNT &amp; COMPENSATION</t>
  </si>
  <si>
    <t>Co-Founder salary from Jan 2028 (£/year each)</t>
  </si>
  <si>
    <t>SeedLegals benchmark for £700K+ rounds</t>
  </si>
  <si>
    <t>Founding Engineer salary from Jan 2028 (£/year each)</t>
  </si>
  <si>
    <t>Cengo + Yunus</t>
  </si>
  <si>
    <t>GTM Lead salary Y2 (£/year each)</t>
  </si>
  <si>
    <t>3 x GTM Leads in 2028</t>
  </si>
  <si>
    <t>Experience Marketing Expert salary Y2 (£/year)</t>
  </si>
  <si>
    <t>Hired Month 2 of 2028</t>
  </si>
  <si>
    <t>Employer NI rate (%)</t>
  </si>
  <si>
    <t>UK standard rate 2026</t>
  </si>
  <si>
    <t>HMRC</t>
  </si>
  <si>
    <t>OPERATIONS</t>
  </si>
  <si>
    <t>AI outreach tools (£/month)</t>
  </si>
  <si>
    <t>Clay + Apollo + Instantly stack</t>
  </si>
  <si>
    <t>Window sticker cost per venue (£)</t>
  </si>
  <si>
    <t>Design + print, 2 stickers per venue</t>
  </si>
  <si>
    <t>CASH BUFFER TARGETS</t>
  </si>
  <si>
    <t>Target closing cash — Y2 2028 (£)</t>
  </si>
  <si>
    <t>~6 months runway buffer</t>
  </si>
  <si>
    <t>Target closing cash — Y3 2029 (£)</t>
  </si>
  <si>
    <t>~3 months runway buffer</t>
  </si>
  <si>
    <t>Target closing cash — Y4 2030 (£)</t>
  </si>
  <si>
    <t>KLAIM UK — Y1 BOOTSTRAP  |  Dec 2026: Pre-Launch (Restaurant + Diner Acquisition)  |  Jan–Dec 2027: Live  |  £30K F&amp;F  |  £0 Salaries</t>
  </si>
  <si>
    <t>LINE ITEM</t>
  </si>
  <si>
    <t>Dec 26
(PRE-LAUNCH
No Revenue)</t>
  </si>
  <si>
    <t>Jan 27</t>
  </si>
  <si>
    <t>Feb 27</t>
  </si>
  <si>
    <t>Mar 27</t>
  </si>
  <si>
    <t>Apr 27</t>
  </si>
  <si>
    <t>May 27</t>
  </si>
  <si>
    <t>Jun 27</t>
  </si>
  <si>
    <t>Jul 27</t>
  </si>
  <si>
    <t>Aug 27</t>
  </si>
  <si>
    <t>Sep 27</t>
  </si>
  <si>
    <t>Oct 27</t>
  </si>
  <si>
    <t>Nov 27</t>
  </si>
  <si>
    <t>Dec 27</t>
  </si>
  <si>
    <t>FULL YEAR</t>
  </si>
  <si>
    <t xml:space="preserve">  OPERATING ASSUMPTIONS  (yellow = input)</t>
  </si>
  <si>
    <t xml:space="preserve">  Restaurant Venues (end of month)</t>
  </si>
  <si>
    <t>New Restaurant Venues Acquired per Month</t>
  </si>
  <si>
    <t xml:space="preserve">  Restaurant Brands</t>
  </si>
  <si>
    <t xml:space="preserve">  Transactions per Venue per Month (input)</t>
  </si>
  <si>
    <t xml:space="preserve">  Monthly Transactions (=Venues × Tx/Venue)</t>
  </si>
  <si>
    <t xml:space="preserve">  New Users Acquired</t>
  </si>
  <si>
    <t xml:space="preserve">  Active Users</t>
  </si>
  <si>
    <t xml:space="preserve">  Analytics Adoption % (input)</t>
  </si>
  <si>
    <t xml:space="preserve">  Premium Partner Adoption % (input)</t>
  </si>
  <si>
    <t xml:space="preserve">  REVENUE</t>
  </si>
  <si>
    <t xml:space="preserve">  Stream 1: Standard Embedded Tx Fee </t>
  </si>
  <si>
    <t xml:space="preserve">  Stream 2: Analytics Subscription </t>
  </si>
  <si>
    <t>TOTAL REVENUE</t>
  </si>
  <si>
    <t xml:space="preserve">  COST OF REVENUE  (=Monthly Tx × Assumptions!B17  =  £0.46/tx)</t>
  </si>
  <si>
    <t xml:space="preserve">  API Costs (TrueLayer + GoCardless + Nordigen)</t>
  </si>
  <si>
    <t>GROSS PROFIT  (=Total Revenue - API Costs)</t>
  </si>
  <si>
    <t>Gross Margin %  (=Gross Profit ÷ Total Revenue)</t>
  </si>
  <si>
    <t xml:space="preserve">  OPERATING EXPENSES — ALL FOUNDERS ON EQUITY (£0 SALARY)</t>
  </si>
  <si>
    <t xml:space="preserve">    HEADCOUNT (all £0 salary in Y1)</t>
  </si>
  <si>
    <t xml:space="preserve">    Sean (Co-Founder) — £0 salary, equity only</t>
  </si>
  <si>
    <t xml:space="preserve">    Marc (Co-Founder) — £0 salary, equity only</t>
  </si>
  <si>
    <t xml:space="preserve">    Cengo (Co-Founder, Engineering) — £0 salary, equity only</t>
  </si>
  <si>
    <t xml:space="preserve">    Yunus (Co-Founder, Engineering) — £0 salary, equity only</t>
  </si>
  <si>
    <t xml:space="preserve">    GTM Lead 1 — £0 salary, equity only</t>
  </si>
  <si>
    <t xml:space="preserve">    GTM Lead 2 — £0 salary, equity only</t>
  </si>
  <si>
    <t xml:space="preserve">  TOTAL HEADCOUNT</t>
  </si>
  <si>
    <t xml:space="preserve">    MARKETING &amp; DINER ACQUISITION</t>
  </si>
  <si>
    <t xml:space="preserve">    Pre-Launch Social Ads (Dec 2026 only)</t>
  </si>
  <si>
    <t xml:space="preserve">    PLG Referral Bonus </t>
  </si>
  <si>
    <t xml:space="preserve">    Performance Marketing (Paid Social) </t>
  </si>
  <si>
    <t xml:space="preserve">    Content Creation &amp; Guerrilla Marketing </t>
  </si>
  <si>
    <t xml:space="preserve">    Window Stickers &amp; QR Assets</t>
  </si>
  <si>
    <t xml:space="preserve">  TOTAL MARKETING</t>
  </si>
  <si>
    <t xml:space="preserve">  AI Outreach Tools (£300/month from Jan)</t>
  </si>
  <si>
    <t xml:space="preserve">  Tech Infrastructure (hosting, tools)</t>
  </si>
  <si>
    <t xml:space="preserve">  Legal (FCA AR registration, T&amp;Cs)</t>
  </si>
  <si>
    <t xml:space="preserve">  Miscellaneous</t>
  </si>
  <si>
    <t>TOTAL OPEX</t>
  </si>
  <si>
    <t>EBITDA  (=Gross Profit - Total OPEX)</t>
  </si>
  <si>
    <t xml:space="preserve">  CASH &amp; RUNWAY</t>
  </si>
  <si>
    <t xml:space="preserve">  Opening Cash </t>
  </si>
  <si>
    <t xml:space="preserve">  CLOSING CASH BALANCE </t>
  </si>
  <si>
    <t xml:space="preserve">  KEY METRICS</t>
  </si>
  <si>
    <t xml:space="preserve">  App Download → Active User Conversion Rate </t>
  </si>
  <si>
    <t xml:space="preserve">  App Downloads </t>
  </si>
  <si>
    <t xml:space="preserve">  Avg. Transactions per Active User </t>
  </si>
  <si>
    <t xml:space="preserve">  Cost per App Download </t>
  </si>
  <si>
    <t xml:space="preserve">  CAC per Diner</t>
  </si>
  <si>
    <t xml:space="preserve">Number of Referrals </t>
  </si>
  <si>
    <t>% New Customers are Referrals</t>
  </si>
  <si>
    <t>KLAIM UK — Y2 PRE-SEED (Jan–Dec 2028)  |  £750K Raise  |  Aggressive Deployment  |  Target £300K Closing Cash</t>
  </si>
  <si>
    <t>Jan 28</t>
  </si>
  <si>
    <t>Feb 28</t>
  </si>
  <si>
    <t>Mar 28</t>
  </si>
  <si>
    <t>Apr 28</t>
  </si>
  <si>
    <t>May 28</t>
  </si>
  <si>
    <t>Jun 28</t>
  </si>
  <si>
    <t>Jul 28</t>
  </si>
  <si>
    <t>Aug 28</t>
  </si>
  <si>
    <t>Sep 28</t>
  </si>
  <si>
    <t>Oct 28</t>
  </si>
  <si>
    <t>Nov 28</t>
  </si>
  <si>
    <t>Dec 28</t>
  </si>
  <si>
    <t xml:space="preserve">  Restaurant Brands (=Venues ÷ Assumptions!B21)</t>
  </si>
  <si>
    <t xml:space="preserve">  Monthly Transactions</t>
  </si>
  <si>
    <t xml:space="preserve">  New Users Acquired (this month — input)</t>
  </si>
  <si>
    <t xml:space="preserve">  Active Users — CUMULATIVE (starts from Y1 end)</t>
  </si>
  <si>
    <t xml:space="preserve">  REVENUE — 3 STREAMS</t>
  </si>
  <si>
    <t xml:space="preserve">  Stream 1: Standard Tx Fee </t>
  </si>
  <si>
    <t xml:space="preserve">  Stream 3: Premium Placement Fee </t>
  </si>
  <si>
    <t xml:space="preserve">  API Costs</t>
  </si>
  <si>
    <t>GROSS PROFIT</t>
  </si>
  <si>
    <t>Gross Margin %</t>
  </si>
  <si>
    <t xml:space="preserve">  OPERATING EXPENSES</t>
  </si>
  <si>
    <t xml:space="preserve">    HEADCOUNT (Founders + Engineers on salary + 3 GTM + Exp Marketing)</t>
  </si>
  <si>
    <t xml:space="preserve">    Sean (Co-Founder) </t>
  </si>
  <si>
    <t xml:space="preserve">    Marc (Co-Founder)</t>
  </si>
  <si>
    <t xml:space="preserve">    Cengo (Co-Founder, Engineering) </t>
  </si>
  <si>
    <t xml:space="preserve">    Yunus (Co-Founder, Engineering) </t>
  </si>
  <si>
    <t xml:space="preserve">    GTM Lead 1</t>
  </si>
  <si>
    <t xml:space="preserve">    GTM Lead 2</t>
  </si>
  <si>
    <t xml:space="preserve">    GTM Lead 3</t>
  </si>
  <si>
    <t xml:space="preserve">   Growth Marketing Manager</t>
  </si>
  <si>
    <t xml:space="preserve">    Performance Marketing (input)</t>
  </si>
  <si>
    <t xml:space="preserve">    Content Creation &amp; Influencer (input)</t>
  </si>
  <si>
    <t xml:space="preserve">  Restaurant Partner Acquisition (input)</t>
  </si>
  <si>
    <t xml:space="preserve">  AI Outreach Tools </t>
  </si>
  <si>
    <t xml:space="preserve">  Tech Infrastructure (input)</t>
  </si>
  <si>
    <t xml:space="preserve">  Office &amp; Co-working Space (input)</t>
  </si>
  <si>
    <t xml:space="preserve">  Legal &amp; Compliance (input)</t>
  </si>
  <si>
    <t xml:space="preserve">  Miscellaneous (input)</t>
  </si>
  <si>
    <t xml:space="preserve">  CASH &amp; RUNWAY  |  Target: £300K closing cash (6 months runway)</t>
  </si>
  <si>
    <t xml:space="preserve">  Opening Cash</t>
  </si>
  <si>
    <t xml:space="preserve">  CLOSING CASH BALANCE</t>
  </si>
  <si>
    <t>KLAIM UK — Y3 SEED (Jan–Dec 2029)  |  £2.5M Raise  |  Maximum Deployment  |  Target £500K Closing Cash</t>
  </si>
  <si>
    <t>Jan 29</t>
  </si>
  <si>
    <t>Feb 29</t>
  </si>
  <si>
    <t>Mar 29</t>
  </si>
  <si>
    <t>Apr 29</t>
  </si>
  <si>
    <t>May 29</t>
  </si>
  <si>
    <t>Jun 29</t>
  </si>
  <si>
    <t>Jul 29</t>
  </si>
  <si>
    <t>Aug 29</t>
  </si>
  <si>
    <t>Sep 29</t>
  </si>
  <si>
    <t>Oct 29</t>
  </si>
  <si>
    <t>Nov 29</t>
  </si>
  <si>
    <t>Dec 29</t>
  </si>
  <si>
    <t xml:space="preserve">  Restaurant Brands (÷ Assumptions!B21)</t>
  </si>
  <si>
    <t xml:space="preserve">  Active Users — CUMULATIVE</t>
  </si>
  <si>
    <t xml:space="preserve">  Stream 1: Standard Tx Fee (×Assumptions!B15)</t>
  </si>
  <si>
    <t xml:space="preserve">  Stream 3: Premium Placement Fee (×Assumptions!B16)</t>
  </si>
  <si>
    <t xml:space="preserve">  Stream 2: Analytics Subscription (×Assumptions!B20)</t>
  </si>
  <si>
    <t xml:space="preserve">  Sponsored Drops (input)</t>
  </si>
  <si>
    <t xml:space="preserve">  COST OF REVENUE  (=Monthly Tx × Assumptions!B17)</t>
  </si>
  <si>
    <t xml:space="preserve">    HEADCOUNT</t>
  </si>
  <si>
    <t xml:space="preserve">    Full Headcount (formula-driven from Assumptions tab)</t>
  </si>
  <si>
    <t xml:space="preserve">    Events &amp; Brand Partnerships (input)</t>
  </si>
  <si>
    <t xml:space="preserve">  AI Outreach Tools (input)</t>
  </si>
  <si>
    <t xml:space="preserve">  Office &amp; Operations (input)</t>
  </si>
  <si>
    <t xml:space="preserve">  Opening Cash (='Y2 2028 Pre-Seed'!N52+Assumptions!B8)</t>
  </si>
  <si>
    <t>KLAIM UK — Y4 SERIES A (Jan–Dec 2030)  |  £8M Raise  |  Maximum Deployment  |  Target £1.5M Closing Cash</t>
  </si>
  <si>
    <t>Jan 30</t>
  </si>
  <si>
    <t>Feb 30</t>
  </si>
  <si>
    <t>Mar 30</t>
  </si>
  <si>
    <t>Apr 30</t>
  </si>
  <si>
    <t>May 30</t>
  </si>
  <si>
    <t>Jun 30</t>
  </si>
  <si>
    <t>Jul 30</t>
  </si>
  <si>
    <t>Aug 30</t>
  </si>
  <si>
    <t>Sep 30</t>
  </si>
  <si>
    <t>Oct 30</t>
  </si>
  <si>
    <t>Nov 30</t>
  </si>
  <si>
    <t>Dec 30</t>
  </si>
  <si>
    <t xml:space="preserve">  Data Platform &amp; Consultancy (input)</t>
  </si>
  <si>
    <t xml:space="preserve">    PLG Referral Bonus</t>
  </si>
  <si>
    <t xml:space="preserve">  Opening Cash (='Y3 2029 Seed'!N47+Assumptions!B9)</t>
  </si>
  <si>
    <t xml:space="preserve">  Blended CAC per Diner (Social and PLG)</t>
  </si>
  <si>
    <t>KLAIM UK — 4-YEAR ANNUAL P&amp;L SUMMARY  |  All figures pull from individual year tabs</t>
  </si>
  <si>
    <t>METRIC</t>
  </si>
  <si>
    <t>2027 Bootstrap</t>
  </si>
  <si>
    <t>2028 Pre-Seed</t>
  </si>
  <si>
    <t>2029 Seed</t>
  </si>
  <si>
    <t>2030 Series A</t>
  </si>
  <si>
    <t>4-YEAR TOTAL</t>
  </si>
  <si>
    <t>REVENUE</t>
  </si>
  <si>
    <t xml:space="preserve">  Total Revenue</t>
  </si>
  <si>
    <t xml:space="preserve">  Gross Profit</t>
  </si>
  <si>
    <t xml:space="preserve">  Gross Margin %</t>
  </si>
  <si>
    <t>OPERATING EXPENSES</t>
  </si>
  <si>
    <t xml:space="preserve">  Total OPEX</t>
  </si>
  <si>
    <t xml:space="preserve">  Marketing Spend</t>
  </si>
  <si>
    <t>KEY METRICS</t>
  </si>
  <si>
    <t xml:space="preserve">  Active Users (end of year)</t>
  </si>
  <si>
    <t xml:space="preserve">  Restaurant Venues (end of year)</t>
  </si>
  <si>
    <t xml:space="preserve">  Closing Cash</t>
  </si>
  <si>
    <t>FUNDING ROADMAP</t>
  </si>
  <si>
    <t xml:space="preserve">  Round</t>
  </si>
  <si>
    <t>Bootstrap</t>
  </si>
  <si>
    <t>Pre-Seed</t>
  </si>
  <si>
    <t>Seed</t>
  </si>
  <si>
    <t>Series A</t>
  </si>
  <si>
    <t xml:space="preserve">  Capital</t>
  </si>
  <si>
    <t xml:space="preserve">  Pre-Money Valuation</t>
  </si>
  <si>
    <t xml:space="preserve">  Timing</t>
  </si>
  <si>
    <t>Jan 2027</t>
  </si>
  <si>
    <t>Jan 2028</t>
  </si>
  <si>
    <t>Jan 2029</t>
  </si>
  <si>
    <t>Jan 2030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</si>
</sst>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£#,##0"/>
    <numFmt numFmtId="165" formatCode="£#,##0.00"/>
    <numFmt numFmtId="166" formatCode="0.0%"/>
    <numFmt numFmtId="167" formatCode="0.0"/>
    <numFmt numFmtId="168" formatCode="[$£]#,##0"/>
  </numFmts>
  <fonts count="22">
    <font>
      <sz val="11.0"/>
      <color theme="1"/>
      <name val="Calibri"/>
      <scheme val="minor"/>
    </font>
    <font>
      <b/>
      <sz val="14.0"/>
      <color rgb="FFFFFFFF"/>
      <name val="Calibri"/>
    </font>
    <font>
      <b/>
      <sz val="10.0"/>
      <color rgb="FF1A0A3C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sz val="9.0"/>
      <color rgb="FF555555"/>
      <name val="Calibri"/>
    </font>
    <font/>
    <font>
      <sz val="10.0"/>
      <color theme="1"/>
      <name val="Calibri"/>
    </font>
    <font>
      <b/>
      <sz val="10.0"/>
      <color rgb="FFAAFF00"/>
      <name val="Calibri"/>
    </font>
    <font>
      <sz val="10.0"/>
      <color rgb="FF1A0A3C"/>
      <name val="Calibri"/>
    </font>
    <font>
      <b/>
      <sz val="10.0"/>
      <color rgb="FF000000"/>
      <name val="Calibri"/>
    </font>
    <font>
      <b/>
      <sz val="10.0"/>
      <color rgb="FF007A3D"/>
      <name val="Calibri"/>
    </font>
    <font>
      <b/>
      <sz val="10.0"/>
      <color rgb="FFE67E00"/>
      <name val="Calibri"/>
    </font>
    <font>
      <b/>
      <sz val="12.0"/>
      <color rgb="FFFFFFFF"/>
      <name val="Calibri"/>
    </font>
    <font>
      <color theme="1"/>
      <name val="Calibri"/>
      <scheme val="minor"/>
    </font>
    <font>
      <b/>
      <sz val="9.0"/>
      <color rgb="FFFFFFFF"/>
      <name val="Calibri"/>
    </font>
    <font>
      <b/>
      <sz val="9.0"/>
      <color rgb="FFAAFF00"/>
      <name val="Calibri"/>
    </font>
    <font>
      <b/>
      <sz val="11.0"/>
      <color rgb="FF007A3D"/>
      <name val="Calibri"/>
    </font>
    <font>
      <b/>
      <sz val="12.0"/>
      <color rgb="FF007A3D"/>
      <name val="Calibri"/>
    </font>
    <font>
      <b/>
      <sz val="11.0"/>
      <color rgb="FFE67E00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A0A3C"/>
        <bgColor rgb="FF1A0A3C"/>
      </patternFill>
    </fill>
    <fill>
      <patternFill patternType="solid">
        <fgColor rgb="FFFFFDE7"/>
        <bgColor rgb="FFFFFDE7"/>
      </patternFill>
    </fill>
    <fill>
      <patternFill patternType="solid">
        <fgColor rgb="FF2D1B6B"/>
        <bgColor rgb="FF2D1B6B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8FFB0"/>
        <bgColor rgb="FFE8FFB0"/>
      </patternFill>
    </fill>
    <fill>
      <patternFill patternType="solid">
        <fgColor rgb="FFE8E8E8"/>
        <bgColor rgb="FFE8E8E8"/>
      </patternFill>
    </fill>
    <fill>
      <patternFill patternType="solid">
        <fgColor rgb="FF6B3FA0"/>
        <bgColor rgb="FF6B3FA0"/>
      </patternFill>
    </fill>
    <fill>
      <patternFill patternType="solid">
        <fgColor rgb="FFE0FFE8"/>
        <bgColor rgb="FFE0FFE8"/>
      </patternFill>
    </fill>
    <fill>
      <patternFill patternType="solid">
        <fgColor rgb="FFE3F2FD"/>
        <bgColor rgb="FFE3F2FD"/>
      </patternFill>
    </fill>
    <fill>
      <patternFill patternType="solid">
        <fgColor rgb="FFFFF3CD"/>
        <bgColor rgb="FFFFF3CD"/>
      </patternFill>
    </fill>
  </fills>
  <borders count="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2" fillId="5" fontId="4" numFmtId="0" xfId="0" applyAlignment="1" applyBorder="1" applyFill="1" applyFont="1">
      <alignment horizontal="left" shrinkToFit="0" vertical="center" wrapText="1"/>
    </xf>
    <xf borderId="2" fillId="3" fontId="2" numFmtId="164" xfId="0" applyAlignment="1" applyBorder="1" applyFont="1" applyNumberFormat="1">
      <alignment horizontal="right" vertical="center"/>
    </xf>
    <xf borderId="2" fillId="6" fontId="5" numFmtId="0" xfId="0" applyAlignment="1" applyBorder="1" applyFill="1" applyFont="1">
      <alignment horizontal="left" shrinkToFit="0" vertical="center" wrapText="1"/>
    </xf>
    <xf borderId="2" fillId="3" fontId="2" numFmtId="165" xfId="0" applyAlignment="1" applyBorder="1" applyFont="1" applyNumberFormat="1">
      <alignment horizontal="right" vertical="center"/>
    </xf>
    <xf borderId="2" fillId="7" fontId="2" numFmtId="165" xfId="0" applyAlignment="1" applyBorder="1" applyFill="1" applyFont="1" applyNumberFormat="1">
      <alignment horizontal="right" vertical="center"/>
    </xf>
    <xf borderId="2" fillId="6" fontId="5" numFmtId="0" xfId="0" applyAlignment="1" applyBorder="1" applyFont="1">
      <alignment horizontal="left" readingOrder="0" shrinkToFit="0" vertical="center" wrapText="1"/>
    </xf>
    <xf borderId="2" fillId="3" fontId="2" numFmtId="3" xfId="0" applyAlignment="1" applyBorder="1" applyFont="1" applyNumberFormat="1">
      <alignment horizontal="right" vertical="center"/>
    </xf>
    <xf borderId="2" fillId="3" fontId="2" numFmtId="166" xfId="0" applyAlignment="1" applyBorder="1" applyFont="1" applyNumberFormat="1">
      <alignment horizontal="right" vertical="center"/>
    </xf>
    <xf borderId="2" fillId="3" fontId="2" numFmtId="164" xfId="0" applyAlignment="1" applyBorder="1" applyFont="1" applyNumberFormat="1">
      <alignment horizontal="right" readingOrder="0" vertical="center"/>
    </xf>
    <xf borderId="3" fillId="2" fontId="3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5" fillId="0" fontId="6" numFmtId="0" xfId="0" applyBorder="1" applyFont="1"/>
    <xf borderId="0" fillId="0" fontId="7" numFmtId="0" xfId="0" applyAlignment="1" applyFont="1">
      <alignment vertical="center"/>
    </xf>
    <xf borderId="2" fillId="4" fontId="3" numFmtId="0" xfId="0" applyAlignment="1" applyBorder="1" applyFont="1">
      <alignment horizontal="left" vertical="center"/>
    </xf>
    <xf borderId="2" fillId="2" fontId="8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left" vertical="center"/>
    </xf>
    <xf borderId="2" fillId="6" fontId="9" numFmtId="3" xfId="0" applyAlignment="1" applyBorder="1" applyFont="1" applyNumberFormat="1">
      <alignment horizontal="right" readingOrder="0" vertical="center"/>
    </xf>
    <xf borderId="2" fillId="6" fontId="9" numFmtId="3" xfId="0" applyAlignment="1" applyBorder="1" applyFont="1" applyNumberFormat="1">
      <alignment horizontal="right" vertical="center"/>
    </xf>
    <xf borderId="2" fillId="7" fontId="10" numFmtId="3" xfId="0" applyAlignment="1" applyBorder="1" applyFont="1" applyNumberFormat="1">
      <alignment horizontal="right" vertical="center"/>
    </xf>
    <xf borderId="2" fillId="5" fontId="4" numFmtId="0" xfId="0" applyAlignment="1" applyBorder="1" applyFont="1">
      <alignment horizontal="left" readingOrder="0" shrinkToFit="0" vertical="center" wrapText="1"/>
    </xf>
    <xf borderId="2" fillId="6" fontId="4" numFmtId="3" xfId="0" applyAlignment="1" applyBorder="1" applyFont="1" applyNumberFormat="1">
      <alignment horizontal="right" vertical="center"/>
    </xf>
    <xf borderId="2" fillId="6" fontId="9" numFmtId="166" xfId="0" applyAlignment="1" applyBorder="1" applyFont="1" applyNumberFormat="1">
      <alignment horizontal="right" vertical="center"/>
    </xf>
    <xf borderId="2" fillId="7" fontId="10" numFmtId="166" xfId="0" applyAlignment="1" applyBorder="1" applyFont="1" applyNumberFormat="1">
      <alignment horizontal="right" vertical="center"/>
    </xf>
    <xf borderId="3" fillId="2" fontId="3" numFmtId="0" xfId="0" applyAlignment="1" applyBorder="1" applyFont="1">
      <alignment horizontal="left" vertical="center"/>
    </xf>
    <xf borderId="2" fillId="6" fontId="4" numFmtId="0" xfId="0" applyAlignment="1" applyBorder="1" applyFont="1">
      <alignment horizontal="left" readingOrder="0" shrinkToFit="0" vertical="center" wrapText="1"/>
    </xf>
    <xf borderId="2" fillId="6" fontId="4" numFmtId="164" xfId="0" applyAlignment="1" applyBorder="1" applyFont="1" applyNumberFormat="1">
      <alignment horizontal="right" vertical="center"/>
    </xf>
    <xf borderId="2" fillId="6" fontId="4" numFmtId="164" xfId="0" applyAlignment="1" applyBorder="1" applyFont="1" applyNumberFormat="1">
      <alignment horizontal="right" readingOrder="0" vertical="center"/>
    </xf>
    <xf borderId="2" fillId="7" fontId="10" numFmtId="164" xfId="0" applyAlignment="1" applyBorder="1" applyFont="1" applyNumberFormat="1">
      <alignment horizontal="right" vertical="center"/>
    </xf>
    <xf borderId="2" fillId="8" fontId="2" numFmtId="0" xfId="0" applyAlignment="1" applyBorder="1" applyFill="1" applyFont="1">
      <alignment horizontal="left" shrinkToFit="0" vertical="center" wrapText="1"/>
    </xf>
    <xf borderId="2" fillId="8" fontId="2" numFmtId="164" xfId="0" applyAlignment="1" applyBorder="1" applyFont="1" applyNumberFormat="1">
      <alignment horizontal="right" vertical="center"/>
    </xf>
    <xf borderId="2" fillId="7" fontId="2" numFmtId="164" xfId="0" applyAlignment="1" applyBorder="1" applyFont="1" applyNumberFormat="1">
      <alignment horizontal="right" vertical="center"/>
    </xf>
    <xf borderId="2" fillId="6" fontId="4" numFmtId="0" xfId="0" applyAlignment="1" applyBorder="1" applyFont="1">
      <alignment horizontal="left" shrinkToFit="0" vertical="center" wrapText="1"/>
    </xf>
    <xf borderId="2" fillId="7" fontId="4" numFmtId="0" xfId="0" applyAlignment="1" applyBorder="1" applyFont="1">
      <alignment horizontal="left" shrinkToFit="0" vertical="center" wrapText="1"/>
    </xf>
    <xf borderId="2" fillId="7" fontId="4" numFmtId="166" xfId="0" applyAlignment="1" applyBorder="1" applyFont="1" applyNumberFormat="1">
      <alignment horizontal="right" vertical="center"/>
    </xf>
    <xf borderId="3" fillId="9" fontId="3" numFmtId="0" xfId="0" applyAlignment="1" applyBorder="1" applyFill="1" applyFont="1">
      <alignment horizontal="left" vertical="center"/>
    </xf>
    <xf borderId="2" fillId="6" fontId="10" numFmtId="164" xfId="0" applyAlignment="1" applyBorder="1" applyFont="1" applyNumberFormat="1">
      <alignment horizontal="right" vertical="center"/>
    </xf>
    <xf borderId="2" fillId="6" fontId="9" numFmtId="164" xfId="0" applyAlignment="1" applyBorder="1" applyFont="1" applyNumberFormat="1">
      <alignment horizontal="right" vertical="center"/>
    </xf>
    <xf borderId="2" fillId="6" fontId="9" numFmtId="164" xfId="0" applyAlignment="1" applyBorder="1" applyFont="1" applyNumberFormat="1">
      <alignment horizontal="right" readingOrder="0" vertical="center"/>
    </xf>
    <xf borderId="2" fillId="2" fontId="8" numFmtId="0" xfId="0" applyAlignment="1" applyBorder="1" applyFont="1">
      <alignment horizontal="left" shrinkToFit="0" vertical="center" wrapText="1"/>
    </xf>
    <xf borderId="2" fillId="10" fontId="11" numFmtId="164" xfId="0" applyAlignment="1" applyBorder="1" applyFill="1" applyFont="1" applyNumberFormat="1">
      <alignment horizontal="right" vertical="center"/>
    </xf>
    <xf borderId="2" fillId="11" fontId="4" numFmtId="0" xfId="0" applyAlignment="1" applyBorder="1" applyFill="1" applyFont="1">
      <alignment horizontal="left" readingOrder="0" shrinkToFit="0" vertical="center" wrapText="1"/>
    </xf>
    <xf borderId="2" fillId="11" fontId="4" numFmtId="164" xfId="0" applyAlignment="1" applyBorder="1" applyFont="1" applyNumberFormat="1">
      <alignment horizontal="right" vertical="center"/>
    </xf>
    <xf borderId="2" fillId="11" fontId="10" numFmtId="164" xfId="0" applyAlignment="1" applyBorder="1" applyFont="1" applyNumberFormat="1">
      <alignment horizontal="right" vertical="center"/>
    </xf>
    <xf borderId="2" fillId="11" fontId="2" numFmtId="0" xfId="0" applyAlignment="1" applyBorder="1" applyFont="1">
      <alignment horizontal="left" readingOrder="0" shrinkToFit="0" vertical="center" wrapText="1"/>
    </xf>
    <xf borderId="2" fillId="12" fontId="12" numFmtId="164" xfId="0" applyAlignment="1" applyBorder="1" applyFill="1" applyFont="1" applyNumberFormat="1">
      <alignment horizontal="right" vertical="center"/>
    </xf>
    <xf borderId="2" fillId="6" fontId="4" numFmtId="165" xfId="0" applyAlignment="1" applyBorder="1" applyFont="1" applyNumberFormat="1">
      <alignment horizontal="right" vertical="center"/>
    </xf>
    <xf borderId="2" fillId="6" fontId="10" numFmtId="165" xfId="0" applyAlignment="1" applyBorder="1" applyFont="1" applyNumberFormat="1">
      <alignment horizontal="right" vertical="center"/>
    </xf>
    <xf borderId="2" fillId="6" fontId="2" numFmtId="166" xfId="0" applyAlignment="1" applyBorder="1" applyFont="1" applyNumberFormat="1">
      <alignment horizontal="right" vertical="center"/>
    </xf>
    <xf borderId="2" fillId="6" fontId="2" numFmtId="3" xfId="0" applyAlignment="1" applyBorder="1" applyFont="1" applyNumberFormat="1">
      <alignment horizontal="right" vertical="center"/>
    </xf>
    <xf borderId="2" fillId="6" fontId="4" numFmtId="167" xfId="0" applyAlignment="1" applyBorder="1" applyFont="1" applyNumberFormat="1">
      <alignment horizontal="right" vertical="center"/>
    </xf>
    <xf borderId="2" fillId="6" fontId="2" numFmtId="167" xfId="0" applyAlignment="1" applyBorder="1" applyFont="1" applyNumberFormat="1">
      <alignment horizontal="right" vertical="center"/>
    </xf>
    <xf borderId="2" fillId="6" fontId="2" numFmtId="165" xfId="0" applyAlignment="1" applyBorder="1" applyFont="1" applyNumberFormat="1">
      <alignment horizontal="right" vertical="center"/>
    </xf>
    <xf borderId="2" fillId="6" fontId="4" numFmtId="9" xfId="0" applyAlignment="1" applyBorder="1" applyFont="1" applyNumberFormat="1">
      <alignment horizontal="right" vertical="center"/>
    </xf>
    <xf borderId="3" fillId="2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2" fillId="4" fontId="15" numFmtId="0" xfId="0" applyAlignment="1" applyBorder="1" applyFont="1">
      <alignment horizontal="center" shrinkToFit="0" vertical="center" wrapText="1"/>
    </xf>
    <xf borderId="2" fillId="2" fontId="16" numFmtId="0" xfId="0" applyAlignment="1" applyBorder="1" applyFont="1">
      <alignment horizontal="center" shrinkToFit="0" vertical="center" wrapText="1"/>
    </xf>
    <xf borderId="2" fillId="10" fontId="17" numFmtId="164" xfId="0" applyAlignment="1" applyBorder="1" applyFont="1" applyNumberFormat="1">
      <alignment horizontal="right" vertical="center"/>
    </xf>
    <xf borderId="2" fillId="10" fontId="18" numFmtId="164" xfId="0" applyAlignment="1" applyBorder="1" applyFont="1" applyNumberFormat="1">
      <alignment horizontal="right" vertical="center"/>
    </xf>
    <xf borderId="2" fillId="11" fontId="2" numFmtId="0" xfId="0" applyAlignment="1" applyBorder="1" applyFont="1">
      <alignment horizontal="left" shrinkToFit="0" vertical="center" wrapText="1"/>
    </xf>
    <xf borderId="2" fillId="12" fontId="19" numFmtId="164" xfId="0" applyAlignment="1" applyBorder="1" applyFont="1" applyNumberFormat="1">
      <alignment horizontal="right" vertical="center"/>
    </xf>
    <xf borderId="2" fillId="6" fontId="10" numFmtId="3" xfId="0" applyAlignment="1" applyBorder="1" applyFont="1" applyNumberFormat="1">
      <alignment horizontal="right" vertical="center"/>
    </xf>
    <xf borderId="2" fillId="11" fontId="4" numFmtId="0" xfId="0" applyAlignment="1" applyBorder="1" applyFont="1">
      <alignment horizontal="left" shrinkToFit="0" vertical="center" wrapText="1"/>
    </xf>
    <xf borderId="2" fillId="0" fontId="4" numFmtId="164" xfId="0" applyAlignment="1" applyBorder="1" applyFont="1" applyNumberFormat="1">
      <alignment horizontal="right" vertical="center"/>
    </xf>
    <xf borderId="2" fillId="0" fontId="9" numFmtId="164" xfId="0" applyAlignment="1" applyBorder="1" applyFont="1" applyNumberFormat="1">
      <alignment horizontal="right" vertical="center"/>
    </xf>
    <xf borderId="2" fillId="7" fontId="4" numFmtId="164" xfId="0" applyAlignment="1" applyBorder="1" applyFont="1" applyNumberFormat="1">
      <alignment horizontal="right" readingOrder="0" vertical="center"/>
    </xf>
    <xf borderId="2" fillId="6" fontId="10" numFmtId="0" xfId="0" applyAlignment="1" applyBorder="1" applyFont="1">
      <alignment horizontal="left" shrinkToFit="0" vertical="center" wrapText="1"/>
    </xf>
    <xf borderId="2" fillId="6" fontId="4" numFmtId="1" xfId="0" applyAlignment="1" applyBorder="1" applyFont="1" applyNumberFormat="1">
      <alignment horizontal="right" vertical="center"/>
    </xf>
    <xf borderId="2" fillId="6" fontId="2" numFmtId="1" xfId="0" applyAlignment="1" applyBorder="1" applyFont="1" applyNumberFormat="1">
      <alignment horizontal="right" vertical="center"/>
    </xf>
    <xf borderId="3" fillId="2" fontId="1" numFmtId="0" xfId="0" applyAlignment="1" applyBorder="1" applyFont="1">
      <alignment horizontal="center" shrinkToFit="0" vertical="center" wrapText="1"/>
    </xf>
    <xf borderId="2" fillId="4" fontId="20" numFmtId="0" xfId="0" applyAlignment="1" applyBorder="1" applyFont="1">
      <alignment horizontal="center" vertical="center"/>
    </xf>
    <xf borderId="2" fillId="2" fontId="20" numFmtId="0" xfId="0" applyAlignment="1" applyBorder="1" applyFont="1">
      <alignment horizontal="center" vertical="center"/>
    </xf>
    <xf borderId="3" fillId="2" fontId="20" numFmtId="0" xfId="0" applyAlignment="1" applyBorder="1" applyFont="1">
      <alignment horizontal="left" vertical="center"/>
    </xf>
    <xf borderId="2" fillId="6" fontId="9" numFmtId="0" xfId="0" applyAlignment="1" applyBorder="1" applyFont="1">
      <alignment horizontal="left" shrinkToFit="0" vertical="center" wrapText="1"/>
    </xf>
    <xf borderId="2" fillId="6" fontId="4" numFmtId="0" xfId="0" applyAlignment="1" applyBorder="1" applyFont="1">
      <alignment horizontal="left" vertical="center"/>
    </xf>
    <xf borderId="2" fillId="6" fontId="21" numFmtId="0" xfId="0" applyAlignment="1" applyBorder="1" applyFont="1">
      <alignment vertical="center"/>
    </xf>
    <xf borderId="3" fillId="4" fontId="20" numFmtId="0" xfId="0" applyAlignment="1" applyBorder="1" applyFont="1">
      <alignment horizontal="left" vertical="center"/>
    </xf>
    <xf borderId="2" fillId="6" fontId="9" numFmtId="0" xfId="0" applyAlignment="1" applyBorder="1" applyFont="1">
      <alignment horizontal="right" vertical="center"/>
    </xf>
    <xf borderId="2" fillId="6" fontId="9" numFmtId="168" xfId="0" applyAlignment="1" applyBorder="1" applyFont="1" applyNumberFormat="1">
      <alignment horizontal="right" readingOrder="0" vertical="center"/>
    </xf>
    <xf borderId="0" fillId="0" fontId="14" numFmtId="0" xfId="0" applyAlignment="1" applyFont="1">
      <alignment readingOrder="0" vertical="center"/>
    </xf>
    <xf borderId="0" fillId="0" fontId="14" numFmtId="9" xfId="0" applyAlignment="1" applyFont="1" applyNumberFormat="1">
      <alignment readingOrder="0" vertical="center"/>
    </xf>
    <xf borderId="0" fillId="0" fontId="14" numFmtId="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20.0"/>
    <col customWidth="1" min="3" max="3" width="32.0"/>
    <col customWidth="1" min="4" max="4" width="22.0"/>
    <col customWidth="1" min="5" max="26" width="8.71"/>
  </cols>
  <sheetData>
    <row r="1" ht="39.75" customHeight="1">
      <c r="A1" s="1" t="s">
        <v>0</v>
      </c>
    </row>
    <row r="2" ht="19.5" customHeight="1">
      <c r="A2" s="2" t="s">
        <v>1</v>
      </c>
    </row>
    <row r="3" ht="21.75" customHeight="1">
      <c r="A3" s="3" t="s">
        <v>2</v>
      </c>
      <c r="B3" s="3" t="s">
        <v>3</v>
      </c>
      <c r="C3" s="3" t="s">
        <v>4</v>
      </c>
      <c r="D3" s="3" t="s">
        <v>5</v>
      </c>
    </row>
    <row r="4" ht="21.75" customHeight="1">
      <c r="A4" s="4" t="s">
        <v>6</v>
      </c>
    </row>
    <row r="5" ht="18.0" customHeight="1">
      <c r="A5" s="5" t="s">
        <v>7</v>
      </c>
      <c r="B5" s="6">
        <v>30000.0</v>
      </c>
      <c r="C5" s="7" t="s">
        <v>8</v>
      </c>
      <c r="D5" s="7"/>
    </row>
    <row r="6" ht="18.0" customHeight="1">
      <c r="A6" s="5" t="s">
        <v>9</v>
      </c>
      <c r="B6" s="6">
        <v>3000.0</v>
      </c>
      <c r="C6" s="7" t="s">
        <v>10</v>
      </c>
      <c r="D6" s="7"/>
    </row>
    <row r="7" ht="18.0" customHeight="1">
      <c r="A7" s="5" t="s">
        <v>11</v>
      </c>
      <c r="B7" s="6">
        <v>750000.0</v>
      </c>
      <c r="C7" s="7" t="s">
        <v>12</v>
      </c>
      <c r="D7" s="7"/>
    </row>
    <row r="8" ht="18.0" customHeight="1">
      <c r="A8" s="5" t="s">
        <v>13</v>
      </c>
      <c r="B8" s="6">
        <v>2500000.0</v>
      </c>
      <c r="C8" s="7" t="s">
        <v>12</v>
      </c>
      <c r="D8" s="7"/>
    </row>
    <row r="9" ht="18.0" customHeight="1">
      <c r="A9" s="5" t="s">
        <v>14</v>
      </c>
      <c r="B9" s="6">
        <v>8000000.0</v>
      </c>
      <c r="C9" s="7" t="s">
        <v>12</v>
      </c>
      <c r="D9" s="7"/>
    </row>
    <row r="10" ht="18.0" customHeight="1">
      <c r="A10" s="5" t="s">
        <v>15</v>
      </c>
      <c r="B10" s="6">
        <v>3750000.0</v>
      </c>
      <c r="C10" s="7" t="s">
        <v>16</v>
      </c>
      <c r="D10" s="7" t="s">
        <v>17</v>
      </c>
    </row>
    <row r="11" ht="18.0" customHeight="1">
      <c r="A11" s="5" t="s">
        <v>18</v>
      </c>
      <c r="B11" s="6">
        <v>1.0E7</v>
      </c>
      <c r="C11" s="7" t="s">
        <v>19</v>
      </c>
      <c r="D11" s="7"/>
    </row>
    <row r="12" ht="18.0" customHeight="1">
      <c r="A12" s="5" t="s">
        <v>20</v>
      </c>
      <c r="B12" s="6">
        <v>3.75E7</v>
      </c>
      <c r="C12" s="7" t="s">
        <v>21</v>
      </c>
      <c r="D12" s="7"/>
    </row>
    <row r="13" ht="7.5" customHeight="1"/>
    <row r="14" ht="21.75" customHeight="1">
      <c r="A14" s="4" t="s">
        <v>22</v>
      </c>
    </row>
    <row r="15" ht="18.0" customHeight="1">
      <c r="A15" s="5" t="s">
        <v>23</v>
      </c>
      <c r="B15" s="8">
        <v>1.5</v>
      </c>
      <c r="C15" s="7" t="s">
        <v>24</v>
      </c>
      <c r="D15" s="7"/>
    </row>
    <row r="16" ht="18.0" customHeight="1">
      <c r="A16" s="5" t="s">
        <v>25</v>
      </c>
      <c r="B16" s="8">
        <v>2.0</v>
      </c>
      <c r="C16" s="7" t="s">
        <v>26</v>
      </c>
      <c r="D16" s="7"/>
    </row>
    <row r="17" ht="18.0" customHeight="1">
      <c r="A17" s="5" t="s">
        <v>27</v>
      </c>
      <c r="B17" s="8">
        <v>0.46</v>
      </c>
      <c r="C17" s="7" t="s">
        <v>28</v>
      </c>
      <c r="D17" s="7" t="s">
        <v>29</v>
      </c>
    </row>
    <row r="18" ht="18.0" customHeight="1">
      <c r="A18" s="5" t="s">
        <v>30</v>
      </c>
      <c r="B18" s="9">
        <f>B15-B17</f>
        <v>1.04</v>
      </c>
      <c r="C18" s="10" t="s">
        <v>31</v>
      </c>
      <c r="D18" s="7"/>
    </row>
    <row r="19" ht="18.0" customHeight="1">
      <c r="A19" s="5" t="s">
        <v>32</v>
      </c>
      <c r="B19" s="9">
        <f>B16-B17</f>
        <v>1.54</v>
      </c>
      <c r="C19" s="10" t="s">
        <v>33</v>
      </c>
      <c r="D19" s="7"/>
    </row>
    <row r="20" ht="18.0" customHeight="1">
      <c r="A20" s="5" t="s">
        <v>34</v>
      </c>
      <c r="B20" s="6">
        <v>350.0</v>
      </c>
      <c r="C20" s="7" t="s">
        <v>35</v>
      </c>
      <c r="D20" s="7"/>
    </row>
    <row r="21" ht="18.0" customHeight="1">
      <c r="A21" s="5" t="s">
        <v>36</v>
      </c>
      <c r="B21" s="11">
        <v>10.0</v>
      </c>
      <c r="C21" s="7" t="s">
        <v>37</v>
      </c>
      <c r="D21" s="7"/>
    </row>
    <row r="22" ht="18.0" customHeight="1">
      <c r="A22" s="5" t="s">
        <v>38</v>
      </c>
      <c r="B22" s="8">
        <v>10.0</v>
      </c>
      <c r="C22" s="7" t="s">
        <v>39</v>
      </c>
      <c r="D22" s="7"/>
    </row>
    <row r="23" ht="18.0" customHeight="1">
      <c r="A23" s="5" t="s">
        <v>40</v>
      </c>
      <c r="B23" s="9">
        <f>B22-B15</f>
        <v>8.5</v>
      </c>
      <c r="C23" s="10" t="s">
        <v>41</v>
      </c>
      <c r="D23" s="7"/>
    </row>
    <row r="24" ht="7.5" customHeight="1"/>
    <row r="25" ht="21.75" customHeight="1">
      <c r="A25" s="4" t="s">
        <v>42</v>
      </c>
    </row>
    <row r="26" ht="18.0" customHeight="1">
      <c r="A26" s="5" t="s">
        <v>43</v>
      </c>
      <c r="B26" s="8">
        <v>10.0</v>
      </c>
      <c r="C26" s="7" t="s">
        <v>44</v>
      </c>
      <c r="D26" s="7"/>
    </row>
    <row r="27" ht="18.0" customHeight="1">
      <c r="A27" s="5" t="s">
        <v>45</v>
      </c>
      <c r="B27" s="12">
        <v>0.25</v>
      </c>
      <c r="C27" s="7" t="s">
        <v>46</v>
      </c>
      <c r="D27" s="7"/>
    </row>
    <row r="28" ht="18.0" customHeight="1">
      <c r="A28" s="5" t="s">
        <v>47</v>
      </c>
      <c r="B28" s="12">
        <v>0.3</v>
      </c>
      <c r="C28" s="7" t="s">
        <v>48</v>
      </c>
      <c r="D28" s="7"/>
    </row>
    <row r="29" ht="18.0" customHeight="1">
      <c r="A29" s="5" t="s">
        <v>49</v>
      </c>
      <c r="B29" s="8">
        <v>8.5</v>
      </c>
      <c r="C29" s="7" t="s">
        <v>50</v>
      </c>
      <c r="D29" s="7" t="s">
        <v>51</v>
      </c>
    </row>
    <row r="30" ht="18.0" customHeight="1">
      <c r="A30" s="5" t="s">
        <v>52</v>
      </c>
      <c r="B30" s="8">
        <v>18.0</v>
      </c>
      <c r="C30" s="7" t="s">
        <v>53</v>
      </c>
      <c r="D30" s="7" t="s">
        <v>51</v>
      </c>
    </row>
    <row r="31" ht="18.0" customHeight="1">
      <c r="A31" s="5" t="s">
        <v>54</v>
      </c>
      <c r="B31" s="8">
        <v>24.0</v>
      </c>
      <c r="C31" s="7" t="s">
        <v>55</v>
      </c>
      <c r="D31" s="7" t="s">
        <v>51</v>
      </c>
    </row>
    <row r="32" ht="18.0" customHeight="1">
      <c r="A32" s="5" t="s">
        <v>56</v>
      </c>
      <c r="B32" s="8">
        <v>27.0</v>
      </c>
      <c r="C32" s="7" t="s">
        <v>57</v>
      </c>
      <c r="D32" s="7" t="s">
        <v>51</v>
      </c>
    </row>
    <row r="33" ht="18.0" customHeight="1">
      <c r="A33" s="5" t="s">
        <v>58</v>
      </c>
      <c r="B33" s="8">
        <v>5.0</v>
      </c>
      <c r="C33" s="7" t="s">
        <v>59</v>
      </c>
      <c r="D33" s="7" t="s">
        <v>60</v>
      </c>
    </row>
    <row r="34" ht="18.0" customHeight="1">
      <c r="A34" s="5" t="s">
        <v>61</v>
      </c>
      <c r="B34" s="12">
        <v>0.13</v>
      </c>
      <c r="C34" s="7" t="s">
        <v>62</v>
      </c>
      <c r="D34" s="7" t="s">
        <v>60</v>
      </c>
    </row>
    <row r="35" ht="18.0" customHeight="1">
      <c r="A35" s="5" t="s">
        <v>63</v>
      </c>
      <c r="B35" s="9">
        <f>B33/B34</f>
        <v>38.46153846</v>
      </c>
      <c r="C35" s="10" t="s">
        <v>64</v>
      </c>
      <c r="D35" s="7"/>
    </row>
    <row r="36" ht="7.5" customHeight="1"/>
    <row r="37" ht="21.75" customHeight="1">
      <c r="A37" s="4" t="s">
        <v>65</v>
      </c>
    </row>
    <row r="38" ht="18.0" customHeight="1">
      <c r="A38" s="5" t="s">
        <v>66</v>
      </c>
      <c r="B38" s="13">
        <v>75000.0</v>
      </c>
      <c r="C38" s="7" t="s">
        <v>67</v>
      </c>
      <c r="D38" s="7" t="s">
        <v>17</v>
      </c>
    </row>
    <row r="39" ht="18.0" customHeight="1">
      <c r="A39" s="5" t="s">
        <v>68</v>
      </c>
      <c r="B39" s="13">
        <v>55000.0</v>
      </c>
      <c r="C39" s="7" t="s">
        <v>69</v>
      </c>
      <c r="D39" s="7"/>
    </row>
    <row r="40" ht="18.0" customHeight="1">
      <c r="A40" s="5" t="s">
        <v>70</v>
      </c>
      <c r="B40" s="6">
        <v>40000.0</v>
      </c>
      <c r="C40" s="7" t="s">
        <v>71</v>
      </c>
      <c r="D40" s="7"/>
    </row>
    <row r="41" ht="18.0" customHeight="1">
      <c r="A41" s="5" t="s">
        <v>72</v>
      </c>
      <c r="B41" s="6">
        <v>60000.0</v>
      </c>
      <c r="C41" s="7" t="s">
        <v>73</v>
      </c>
      <c r="D41" s="7"/>
    </row>
    <row r="42" ht="18.0" customHeight="1">
      <c r="A42" s="5" t="s">
        <v>74</v>
      </c>
      <c r="B42" s="12">
        <v>0.138</v>
      </c>
      <c r="C42" s="7" t="s">
        <v>75</v>
      </c>
      <c r="D42" s="7" t="s">
        <v>76</v>
      </c>
    </row>
    <row r="43" ht="7.5" customHeight="1"/>
    <row r="44" ht="21.75" customHeight="1">
      <c r="A44" s="4" t="s">
        <v>77</v>
      </c>
    </row>
    <row r="45" ht="18.0" customHeight="1">
      <c r="A45" s="5" t="s">
        <v>78</v>
      </c>
      <c r="B45" s="6">
        <v>300.0</v>
      </c>
      <c r="C45" s="7" t="s">
        <v>79</v>
      </c>
      <c r="D45" s="7"/>
    </row>
    <row r="46" ht="18.0" customHeight="1">
      <c r="A46" s="5" t="s">
        <v>80</v>
      </c>
      <c r="B46" s="8">
        <v>0.5</v>
      </c>
      <c r="C46" s="7" t="s">
        <v>81</v>
      </c>
      <c r="D46" s="7"/>
    </row>
    <row r="47" ht="7.5" customHeight="1"/>
    <row r="48" ht="21.75" customHeight="1">
      <c r="A48" s="4" t="s">
        <v>82</v>
      </c>
    </row>
    <row r="49" ht="18.0" customHeight="1">
      <c r="A49" s="5" t="s">
        <v>83</v>
      </c>
      <c r="B49" s="6">
        <v>300000.0</v>
      </c>
      <c r="C49" s="7" t="s">
        <v>84</v>
      </c>
      <c r="D49" s="7"/>
    </row>
    <row r="50" ht="18.0" customHeight="1">
      <c r="A50" s="5" t="s">
        <v>85</v>
      </c>
      <c r="B50" s="6">
        <v>500000.0</v>
      </c>
      <c r="C50" s="7" t="s">
        <v>86</v>
      </c>
      <c r="D50" s="7"/>
    </row>
    <row r="51" ht="18.0" customHeight="1">
      <c r="A51" s="5" t="s">
        <v>87</v>
      </c>
      <c r="B51" s="6">
        <v>1500000.0</v>
      </c>
      <c r="C51" s="7" t="s">
        <v>84</v>
      </c>
      <c r="D51" s="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14" width="11.0"/>
    <col customWidth="1" min="15" max="15" width="14.0"/>
    <col customWidth="1" min="16" max="26" width="8.71"/>
  </cols>
  <sheetData>
    <row r="1" ht="36.0" customHeight="1">
      <c r="A1" s="14" t="s">
        <v>88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4.0" customHeight="1">
      <c r="A2" s="18" t="s">
        <v>89</v>
      </c>
      <c r="B2" s="3" t="s">
        <v>90</v>
      </c>
      <c r="C2" s="3" t="s">
        <v>91</v>
      </c>
      <c r="D2" s="3" t="s">
        <v>92</v>
      </c>
      <c r="E2" s="3" t="s">
        <v>93</v>
      </c>
      <c r="F2" s="3" t="s">
        <v>94</v>
      </c>
      <c r="G2" s="3" t="s">
        <v>95</v>
      </c>
      <c r="H2" s="3" t="s">
        <v>96</v>
      </c>
      <c r="I2" s="3" t="s">
        <v>97</v>
      </c>
      <c r="J2" s="3" t="s">
        <v>98</v>
      </c>
      <c r="K2" s="3" t="s">
        <v>99</v>
      </c>
      <c r="L2" s="3" t="s">
        <v>100</v>
      </c>
      <c r="M2" s="3" t="s">
        <v>101</v>
      </c>
      <c r="N2" s="3" t="s">
        <v>102</v>
      </c>
      <c r="O2" s="19" t="s">
        <v>103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9.5" customHeight="1">
      <c r="A3" s="20" t="s">
        <v>104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8.0" customHeight="1">
      <c r="A4" s="5" t="s">
        <v>105</v>
      </c>
      <c r="B4" s="21">
        <v>150.0</v>
      </c>
      <c r="C4" s="22">
        <v>300.0</v>
      </c>
      <c r="D4" s="22">
        <v>310.0</v>
      </c>
      <c r="E4" s="22">
        <v>320.0</v>
      </c>
      <c r="F4" s="22">
        <v>330.0</v>
      </c>
      <c r="G4" s="22">
        <v>340.0</v>
      </c>
      <c r="H4" s="22">
        <v>350.0</v>
      </c>
      <c r="I4" s="22">
        <v>360.0</v>
      </c>
      <c r="J4" s="22">
        <v>370.0</v>
      </c>
      <c r="K4" s="22">
        <v>380.0</v>
      </c>
      <c r="L4" s="22">
        <v>390.0</v>
      </c>
      <c r="M4" s="22">
        <v>400.0</v>
      </c>
      <c r="N4" s="22">
        <v>420.0</v>
      </c>
      <c r="O4" s="23">
        <f>N4</f>
        <v>420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8.0" customHeight="1">
      <c r="A5" s="24" t="s">
        <v>106</v>
      </c>
      <c r="B5" s="25">
        <f>B4</f>
        <v>150</v>
      </c>
      <c r="C5" s="25">
        <f t="shared" ref="C5:N5" si="1">C4-B4</f>
        <v>150</v>
      </c>
      <c r="D5" s="25">
        <f t="shared" si="1"/>
        <v>10</v>
      </c>
      <c r="E5" s="25">
        <f t="shared" si="1"/>
        <v>10</v>
      </c>
      <c r="F5" s="25">
        <f t="shared" si="1"/>
        <v>10</v>
      </c>
      <c r="G5" s="25">
        <f t="shared" si="1"/>
        <v>10</v>
      </c>
      <c r="H5" s="25">
        <f t="shared" si="1"/>
        <v>10</v>
      </c>
      <c r="I5" s="25">
        <f t="shared" si="1"/>
        <v>10</v>
      </c>
      <c r="J5" s="25">
        <f t="shared" si="1"/>
        <v>10</v>
      </c>
      <c r="K5" s="25">
        <f t="shared" si="1"/>
        <v>10</v>
      </c>
      <c r="L5" s="25">
        <f t="shared" si="1"/>
        <v>10</v>
      </c>
      <c r="M5" s="25">
        <f t="shared" si="1"/>
        <v>10</v>
      </c>
      <c r="N5" s="25">
        <f t="shared" si="1"/>
        <v>20</v>
      </c>
      <c r="O5" s="23">
        <f>SUM(B5:N5)</f>
        <v>420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8.0" customHeight="1">
      <c r="A6" s="24" t="s">
        <v>107</v>
      </c>
      <c r="B6" s="25">
        <f>B4/Assumptions!B21</f>
        <v>15</v>
      </c>
      <c r="C6" s="25">
        <f>C4/Assumptions!B21</f>
        <v>30</v>
      </c>
      <c r="D6" s="25">
        <f>D4/Assumptions!B21</f>
        <v>31</v>
      </c>
      <c r="E6" s="25">
        <f>E4/Assumptions!B21</f>
        <v>32</v>
      </c>
      <c r="F6" s="25">
        <f>F4/Assumptions!B21</f>
        <v>33</v>
      </c>
      <c r="G6" s="25">
        <f>G4/Assumptions!B21</f>
        <v>34</v>
      </c>
      <c r="H6" s="25">
        <f>H4/Assumptions!B21</f>
        <v>35</v>
      </c>
      <c r="I6" s="25">
        <f>I4/Assumptions!B21</f>
        <v>36</v>
      </c>
      <c r="J6" s="25">
        <f>J4/Assumptions!B21</f>
        <v>37</v>
      </c>
      <c r="K6" s="25">
        <f>K4/Assumptions!B21</f>
        <v>38</v>
      </c>
      <c r="L6" s="25">
        <f>L4/Assumptions!B21</f>
        <v>39</v>
      </c>
      <c r="M6" s="25">
        <f>M4/Assumptions!B21</f>
        <v>40</v>
      </c>
      <c r="N6" s="25">
        <f>N4/Assumptions!B21</f>
        <v>42</v>
      </c>
      <c r="O6" s="23">
        <f>N6</f>
        <v>42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8.0" customHeight="1">
      <c r="A7" s="5" t="s">
        <v>108</v>
      </c>
      <c r="B7" s="22">
        <v>0.0</v>
      </c>
      <c r="C7" s="22">
        <v>3.0</v>
      </c>
      <c r="D7" s="22">
        <v>5.0</v>
      </c>
      <c r="E7" s="22">
        <v>7.0</v>
      </c>
      <c r="F7" s="22">
        <v>9.0</v>
      </c>
      <c r="G7" s="22">
        <v>11.0</v>
      </c>
      <c r="H7" s="22">
        <v>13.0</v>
      </c>
      <c r="I7" s="22">
        <v>15.0</v>
      </c>
      <c r="J7" s="22">
        <v>17.0</v>
      </c>
      <c r="K7" s="22">
        <v>18.0</v>
      </c>
      <c r="L7" s="22">
        <v>19.0</v>
      </c>
      <c r="M7" s="22">
        <v>20.0</v>
      </c>
      <c r="N7" s="22">
        <v>21.0</v>
      </c>
      <c r="O7" s="23">
        <f t="shared" ref="O7:O9" si="3">SUM(B7:N7)</f>
        <v>158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8.0" customHeight="1">
      <c r="A8" s="5" t="s">
        <v>109</v>
      </c>
      <c r="B8" s="25">
        <f t="shared" ref="B8:N8" si="2">B4*B7</f>
        <v>0</v>
      </c>
      <c r="C8" s="25">
        <f t="shared" si="2"/>
        <v>900</v>
      </c>
      <c r="D8" s="25">
        <f t="shared" si="2"/>
        <v>1550</v>
      </c>
      <c r="E8" s="25">
        <f t="shared" si="2"/>
        <v>2240</v>
      </c>
      <c r="F8" s="25">
        <f t="shared" si="2"/>
        <v>2970</v>
      </c>
      <c r="G8" s="25">
        <f t="shared" si="2"/>
        <v>3740</v>
      </c>
      <c r="H8" s="25">
        <f t="shared" si="2"/>
        <v>4550</v>
      </c>
      <c r="I8" s="25">
        <f t="shared" si="2"/>
        <v>5400</v>
      </c>
      <c r="J8" s="25">
        <f t="shared" si="2"/>
        <v>6290</v>
      </c>
      <c r="K8" s="25">
        <f t="shared" si="2"/>
        <v>6840</v>
      </c>
      <c r="L8" s="25">
        <f t="shared" si="2"/>
        <v>7410</v>
      </c>
      <c r="M8" s="25">
        <f t="shared" si="2"/>
        <v>8000</v>
      </c>
      <c r="N8" s="25">
        <f t="shared" si="2"/>
        <v>8820</v>
      </c>
      <c r="O8" s="23">
        <f t="shared" si="3"/>
        <v>58710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8.0" customHeight="1">
      <c r="A9" s="24" t="s">
        <v>110</v>
      </c>
      <c r="B9" s="21">
        <v>200.0</v>
      </c>
      <c r="C9" s="22">
        <v>200.0</v>
      </c>
      <c r="D9" s="22">
        <v>250.0</v>
      </c>
      <c r="E9" s="22">
        <v>300.0</v>
      </c>
      <c r="F9" s="22">
        <v>300.0</v>
      </c>
      <c r="G9" s="22">
        <v>350.0</v>
      </c>
      <c r="H9" s="22">
        <v>350.0</v>
      </c>
      <c r="I9" s="22">
        <v>400.0</v>
      </c>
      <c r="J9" s="22">
        <v>400.0</v>
      </c>
      <c r="K9" s="22">
        <v>450.0</v>
      </c>
      <c r="L9" s="22">
        <v>450.0</v>
      </c>
      <c r="M9" s="22">
        <v>500.0</v>
      </c>
      <c r="N9" s="22">
        <v>500.0</v>
      </c>
      <c r="O9" s="23">
        <f t="shared" si="3"/>
        <v>4650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8.0" customHeight="1">
      <c r="A10" s="24" t="s">
        <v>111</v>
      </c>
      <c r="B10" s="25">
        <f>B9</f>
        <v>200</v>
      </c>
      <c r="C10" s="25">
        <f t="shared" ref="C10:N10" si="4">B10+C9</f>
        <v>400</v>
      </c>
      <c r="D10" s="25">
        <f t="shared" si="4"/>
        <v>650</v>
      </c>
      <c r="E10" s="25">
        <f t="shared" si="4"/>
        <v>950</v>
      </c>
      <c r="F10" s="25">
        <f t="shared" si="4"/>
        <v>1250</v>
      </c>
      <c r="G10" s="25">
        <f t="shared" si="4"/>
        <v>1600</v>
      </c>
      <c r="H10" s="25">
        <f t="shared" si="4"/>
        <v>1950</v>
      </c>
      <c r="I10" s="25">
        <f t="shared" si="4"/>
        <v>2350</v>
      </c>
      <c r="J10" s="25">
        <f t="shared" si="4"/>
        <v>2750</v>
      </c>
      <c r="K10" s="25">
        <f t="shared" si="4"/>
        <v>3200</v>
      </c>
      <c r="L10" s="25">
        <f t="shared" si="4"/>
        <v>3650</v>
      </c>
      <c r="M10" s="25">
        <f t="shared" si="4"/>
        <v>4150</v>
      </c>
      <c r="N10" s="25">
        <f t="shared" si="4"/>
        <v>4650</v>
      </c>
      <c r="O10" s="23">
        <f t="shared" ref="O10:O12" si="5">N10</f>
        <v>4650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8.0" customHeight="1">
      <c r="A11" s="5" t="s">
        <v>112</v>
      </c>
      <c r="B11" s="26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0.05</v>
      </c>
      <c r="H11" s="26">
        <v>0.08</v>
      </c>
      <c r="I11" s="26">
        <v>0.1</v>
      </c>
      <c r="J11" s="26">
        <v>0.12</v>
      </c>
      <c r="K11" s="26">
        <v>0.15</v>
      </c>
      <c r="L11" s="26">
        <v>0.18</v>
      </c>
      <c r="M11" s="26">
        <v>0.2</v>
      </c>
      <c r="N11" s="26">
        <v>0.22</v>
      </c>
      <c r="O11" s="27">
        <f t="shared" si="5"/>
        <v>0.22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8.0" customHeight="1">
      <c r="A12" s="5" t="s">
        <v>113</v>
      </c>
      <c r="B12" s="26">
        <v>0.0</v>
      </c>
      <c r="C12" s="26">
        <v>0.0</v>
      </c>
      <c r="D12" s="26">
        <v>0.0</v>
      </c>
      <c r="E12" s="26">
        <v>0.0</v>
      </c>
      <c r="F12" s="26">
        <v>0.0</v>
      </c>
      <c r="G12" s="26">
        <v>0.0</v>
      </c>
      <c r="H12" s="26">
        <v>0.0</v>
      </c>
      <c r="I12" s="26">
        <v>0.0</v>
      </c>
      <c r="J12" s="26">
        <v>0.0</v>
      </c>
      <c r="K12" s="26">
        <v>0.0</v>
      </c>
      <c r="L12" s="26">
        <v>0.0</v>
      </c>
      <c r="M12" s="26">
        <v>0.0</v>
      </c>
      <c r="N12" s="26">
        <v>0.0</v>
      </c>
      <c r="O12" s="27">
        <f t="shared" si="5"/>
        <v>0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9.5" customHeight="1">
      <c r="A14" s="28" t="s">
        <v>114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8.0" customHeight="1">
      <c r="A15" s="29" t="s">
        <v>115</v>
      </c>
      <c r="B15" s="30">
        <f>B8*(1-B12)*Assumptions!B15</f>
        <v>0</v>
      </c>
      <c r="C15" s="31">
        <v>0.0</v>
      </c>
      <c r="D15" s="31">
        <v>0.0</v>
      </c>
      <c r="E15" s="31">
        <v>0.0</v>
      </c>
      <c r="F15" s="30">
        <f>F8*(1-F12)*Assumptions!B15</f>
        <v>4455</v>
      </c>
      <c r="G15" s="30">
        <f>G8*(1-G12)*Assumptions!B15</f>
        <v>5610</v>
      </c>
      <c r="H15" s="30">
        <f>H8*(1-H12)*Assumptions!B15</f>
        <v>6825</v>
      </c>
      <c r="I15" s="30">
        <f>I8*(1-I12)*Assumptions!B15</f>
        <v>8100</v>
      </c>
      <c r="J15" s="30">
        <f>J8*(1-J12)*Assumptions!B15</f>
        <v>9435</v>
      </c>
      <c r="K15" s="30">
        <f>K8*(1-K12)*Assumptions!B15</f>
        <v>10260</v>
      </c>
      <c r="L15" s="30">
        <f>L8*(1-L12)*Assumptions!B15</f>
        <v>11115</v>
      </c>
      <c r="M15" s="30">
        <f>M8*(1-M12)*Assumptions!B15</f>
        <v>12000</v>
      </c>
      <c r="N15" s="30">
        <f>N8*(1-N12)*Assumptions!B15</f>
        <v>13230</v>
      </c>
      <c r="O15" s="32">
        <f t="shared" ref="O15:O17" si="6">SUM(B15:N15)</f>
        <v>81030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8.0" customHeight="1">
      <c r="A16" s="29" t="s">
        <v>116</v>
      </c>
      <c r="B16" s="30">
        <f>B6*B11*Assumptions!B20</f>
        <v>0</v>
      </c>
      <c r="C16" s="30">
        <f>C6*C11*Assumptions!B20</f>
        <v>0</v>
      </c>
      <c r="D16" s="30">
        <f>D6*D11*Assumptions!B20</f>
        <v>0</v>
      </c>
      <c r="E16" s="30">
        <f>E6*E11*Assumptions!B20</f>
        <v>0</v>
      </c>
      <c r="F16" s="30">
        <f>F6*F11*Assumptions!B20</f>
        <v>0</v>
      </c>
      <c r="G16" s="30">
        <f>G6*G11*Assumptions!B20</f>
        <v>595</v>
      </c>
      <c r="H16" s="30">
        <f>H6*H11*Assumptions!B20</f>
        <v>980</v>
      </c>
      <c r="I16" s="30">
        <f>I6*I11*Assumptions!B20</f>
        <v>1260</v>
      </c>
      <c r="J16" s="30">
        <f>J6*J11*Assumptions!B20</f>
        <v>1554</v>
      </c>
      <c r="K16" s="30">
        <f>K6*K11*Assumptions!B20</f>
        <v>1995</v>
      </c>
      <c r="L16" s="30">
        <f>L6*L11*Assumptions!B20</f>
        <v>2457</v>
      </c>
      <c r="M16" s="30">
        <f>M6*M11*Assumptions!B20</f>
        <v>2800</v>
      </c>
      <c r="N16" s="30">
        <f>N6*N11*Assumptions!B20</f>
        <v>3234</v>
      </c>
      <c r="O16" s="32">
        <f t="shared" si="6"/>
        <v>14875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8.0" customHeight="1">
      <c r="A17" s="33" t="s">
        <v>117</v>
      </c>
      <c r="B17" s="34">
        <f t="shared" ref="B17:N17" si="7">B15+B16</f>
        <v>0</v>
      </c>
      <c r="C17" s="34">
        <f t="shared" si="7"/>
        <v>0</v>
      </c>
      <c r="D17" s="34">
        <f t="shared" si="7"/>
        <v>0</v>
      </c>
      <c r="E17" s="34">
        <f t="shared" si="7"/>
        <v>0</v>
      </c>
      <c r="F17" s="34">
        <f t="shared" si="7"/>
        <v>4455</v>
      </c>
      <c r="G17" s="34">
        <f t="shared" si="7"/>
        <v>6205</v>
      </c>
      <c r="H17" s="34">
        <f t="shared" si="7"/>
        <v>7805</v>
      </c>
      <c r="I17" s="34">
        <f t="shared" si="7"/>
        <v>9360</v>
      </c>
      <c r="J17" s="34">
        <f t="shared" si="7"/>
        <v>10989</v>
      </c>
      <c r="K17" s="34">
        <f t="shared" si="7"/>
        <v>12255</v>
      </c>
      <c r="L17" s="34">
        <f t="shared" si="7"/>
        <v>13572</v>
      </c>
      <c r="M17" s="34">
        <f t="shared" si="7"/>
        <v>14800</v>
      </c>
      <c r="N17" s="34">
        <f t="shared" si="7"/>
        <v>16464</v>
      </c>
      <c r="O17" s="35">
        <f t="shared" si="6"/>
        <v>95905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9.5" customHeight="1">
      <c r="A18" s="20" t="s">
        <v>118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8.0" customHeight="1">
      <c r="A19" s="36" t="s">
        <v>119</v>
      </c>
      <c r="B19" s="30">
        <f>B8*Assumptions!B17</f>
        <v>0</v>
      </c>
      <c r="C19" s="30">
        <f>C8*Assumptions!B17</f>
        <v>414</v>
      </c>
      <c r="D19" s="30">
        <f>D8*Assumptions!B17</f>
        <v>713</v>
      </c>
      <c r="E19" s="30">
        <f>E8*Assumptions!B17</f>
        <v>1030.4</v>
      </c>
      <c r="F19" s="30">
        <f>F8*Assumptions!B17</f>
        <v>1366.2</v>
      </c>
      <c r="G19" s="30">
        <f>G8*Assumptions!B17</f>
        <v>1720.4</v>
      </c>
      <c r="H19" s="30">
        <f>H8*Assumptions!B17</f>
        <v>2093</v>
      </c>
      <c r="I19" s="30">
        <f>I8*Assumptions!B17</f>
        <v>2484</v>
      </c>
      <c r="J19" s="30">
        <f>J8*Assumptions!B17</f>
        <v>2893.4</v>
      </c>
      <c r="K19" s="30">
        <f>K8*Assumptions!B17</f>
        <v>3146.4</v>
      </c>
      <c r="L19" s="30">
        <f>L8*Assumptions!B17</f>
        <v>3408.6</v>
      </c>
      <c r="M19" s="30">
        <f>M8*Assumptions!B17</f>
        <v>3680</v>
      </c>
      <c r="N19" s="30">
        <f>N8*Assumptions!B17</f>
        <v>4057.2</v>
      </c>
      <c r="O19" s="32">
        <f t="shared" ref="O19:O20" si="9">SUM(B19:N19)</f>
        <v>27006.6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8.0" customHeight="1">
      <c r="A20" s="33" t="s">
        <v>120</v>
      </c>
      <c r="B20" s="34">
        <f t="shared" ref="B20:N20" si="8">B17-B19</f>
        <v>0</v>
      </c>
      <c r="C20" s="34">
        <f t="shared" si="8"/>
        <v>-414</v>
      </c>
      <c r="D20" s="34">
        <f t="shared" si="8"/>
        <v>-713</v>
      </c>
      <c r="E20" s="34">
        <f t="shared" si="8"/>
        <v>-1030.4</v>
      </c>
      <c r="F20" s="34">
        <f t="shared" si="8"/>
        <v>3088.8</v>
      </c>
      <c r="G20" s="34">
        <f t="shared" si="8"/>
        <v>4484.6</v>
      </c>
      <c r="H20" s="34">
        <f t="shared" si="8"/>
        <v>5712</v>
      </c>
      <c r="I20" s="34">
        <f t="shared" si="8"/>
        <v>6876</v>
      </c>
      <c r="J20" s="34">
        <f t="shared" si="8"/>
        <v>8095.6</v>
      </c>
      <c r="K20" s="34">
        <f t="shared" si="8"/>
        <v>9108.6</v>
      </c>
      <c r="L20" s="34">
        <f t="shared" si="8"/>
        <v>10163.4</v>
      </c>
      <c r="M20" s="34">
        <f t="shared" si="8"/>
        <v>11120</v>
      </c>
      <c r="N20" s="34">
        <f t="shared" si="8"/>
        <v>12406.8</v>
      </c>
      <c r="O20" s="35">
        <f t="shared" si="9"/>
        <v>68898.4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8.0" customHeight="1">
      <c r="A21" s="37" t="s">
        <v>121</v>
      </c>
      <c r="B21" s="38">
        <f t="shared" ref="B21:O21" si="10">IFERROR(B20/B17,0)</f>
        <v>0</v>
      </c>
      <c r="C21" s="38">
        <f t="shared" si="10"/>
        <v>0</v>
      </c>
      <c r="D21" s="38">
        <f t="shared" si="10"/>
        <v>0</v>
      </c>
      <c r="E21" s="38">
        <f t="shared" si="10"/>
        <v>0</v>
      </c>
      <c r="F21" s="38">
        <f t="shared" si="10"/>
        <v>0.6933333333</v>
      </c>
      <c r="G21" s="38">
        <f t="shared" si="10"/>
        <v>0.722739726</v>
      </c>
      <c r="H21" s="38">
        <f t="shared" si="10"/>
        <v>0.731838565</v>
      </c>
      <c r="I21" s="38">
        <f t="shared" si="10"/>
        <v>0.7346153846</v>
      </c>
      <c r="J21" s="38">
        <f t="shared" si="10"/>
        <v>0.7367003367</v>
      </c>
      <c r="K21" s="38">
        <f t="shared" si="10"/>
        <v>0.743255814</v>
      </c>
      <c r="L21" s="38">
        <f t="shared" si="10"/>
        <v>0.7488505747</v>
      </c>
      <c r="M21" s="38">
        <f t="shared" si="10"/>
        <v>0.7513513514</v>
      </c>
      <c r="N21" s="38">
        <f t="shared" si="10"/>
        <v>0.7535714286</v>
      </c>
      <c r="O21" s="27">
        <f t="shared" si="10"/>
        <v>0.7184025859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9.5" customHeight="1">
      <c r="A23" s="39" t="s">
        <v>122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9.5" customHeight="1">
      <c r="A24" s="20" t="s">
        <v>123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8.0" customHeight="1">
      <c r="A25" s="36" t="s">
        <v>124</v>
      </c>
      <c r="B25" s="30">
        <f t="shared" ref="B25:O25" si="11">0</f>
        <v>0</v>
      </c>
      <c r="C25" s="30">
        <f t="shared" si="11"/>
        <v>0</v>
      </c>
      <c r="D25" s="30">
        <f t="shared" si="11"/>
        <v>0</v>
      </c>
      <c r="E25" s="30">
        <f t="shared" si="11"/>
        <v>0</v>
      </c>
      <c r="F25" s="30">
        <f t="shared" si="11"/>
        <v>0</v>
      </c>
      <c r="G25" s="30">
        <f t="shared" si="11"/>
        <v>0</v>
      </c>
      <c r="H25" s="30">
        <f t="shared" si="11"/>
        <v>0</v>
      </c>
      <c r="I25" s="30">
        <f t="shared" si="11"/>
        <v>0</v>
      </c>
      <c r="J25" s="30">
        <f t="shared" si="11"/>
        <v>0</v>
      </c>
      <c r="K25" s="30">
        <f t="shared" si="11"/>
        <v>0</v>
      </c>
      <c r="L25" s="30">
        <f t="shared" si="11"/>
        <v>0</v>
      </c>
      <c r="M25" s="30">
        <f t="shared" si="11"/>
        <v>0</v>
      </c>
      <c r="N25" s="30">
        <f t="shared" si="11"/>
        <v>0</v>
      </c>
      <c r="O25" s="40">
        <f t="shared" si="11"/>
        <v>0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8.0" customHeight="1">
      <c r="A26" s="36" t="s">
        <v>125</v>
      </c>
      <c r="B26" s="30">
        <f t="shared" ref="B26:O26" si="12">0</f>
        <v>0</v>
      </c>
      <c r="C26" s="30">
        <f t="shared" si="12"/>
        <v>0</v>
      </c>
      <c r="D26" s="30">
        <f t="shared" si="12"/>
        <v>0</v>
      </c>
      <c r="E26" s="30">
        <f t="shared" si="12"/>
        <v>0</v>
      </c>
      <c r="F26" s="30">
        <f t="shared" si="12"/>
        <v>0</v>
      </c>
      <c r="G26" s="30">
        <f t="shared" si="12"/>
        <v>0</v>
      </c>
      <c r="H26" s="30">
        <f t="shared" si="12"/>
        <v>0</v>
      </c>
      <c r="I26" s="30">
        <f t="shared" si="12"/>
        <v>0</v>
      </c>
      <c r="J26" s="30">
        <f t="shared" si="12"/>
        <v>0</v>
      </c>
      <c r="K26" s="30">
        <f t="shared" si="12"/>
        <v>0</v>
      </c>
      <c r="L26" s="30">
        <f t="shared" si="12"/>
        <v>0</v>
      </c>
      <c r="M26" s="30">
        <f t="shared" si="12"/>
        <v>0</v>
      </c>
      <c r="N26" s="30">
        <f t="shared" si="12"/>
        <v>0</v>
      </c>
      <c r="O26" s="40">
        <f t="shared" si="12"/>
        <v>0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8.0" customHeight="1">
      <c r="A27" s="36" t="s">
        <v>126</v>
      </c>
      <c r="B27" s="30">
        <f t="shared" ref="B27:O27" si="13">0</f>
        <v>0</v>
      </c>
      <c r="C27" s="30">
        <f t="shared" si="13"/>
        <v>0</v>
      </c>
      <c r="D27" s="30">
        <f t="shared" si="13"/>
        <v>0</v>
      </c>
      <c r="E27" s="30">
        <f t="shared" si="13"/>
        <v>0</v>
      </c>
      <c r="F27" s="30">
        <f t="shared" si="13"/>
        <v>0</v>
      </c>
      <c r="G27" s="30">
        <f t="shared" si="13"/>
        <v>0</v>
      </c>
      <c r="H27" s="30">
        <f t="shared" si="13"/>
        <v>0</v>
      </c>
      <c r="I27" s="30">
        <f t="shared" si="13"/>
        <v>0</v>
      </c>
      <c r="J27" s="30">
        <f t="shared" si="13"/>
        <v>0</v>
      </c>
      <c r="K27" s="30">
        <f t="shared" si="13"/>
        <v>0</v>
      </c>
      <c r="L27" s="30">
        <f t="shared" si="13"/>
        <v>0</v>
      </c>
      <c r="M27" s="30">
        <f t="shared" si="13"/>
        <v>0</v>
      </c>
      <c r="N27" s="30">
        <f t="shared" si="13"/>
        <v>0</v>
      </c>
      <c r="O27" s="40">
        <f t="shared" si="13"/>
        <v>0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8.0" customHeight="1">
      <c r="A28" s="36" t="s">
        <v>127</v>
      </c>
      <c r="B28" s="30">
        <f t="shared" ref="B28:O28" si="14">0</f>
        <v>0</v>
      </c>
      <c r="C28" s="30">
        <f t="shared" si="14"/>
        <v>0</v>
      </c>
      <c r="D28" s="30">
        <f t="shared" si="14"/>
        <v>0</v>
      </c>
      <c r="E28" s="30">
        <f t="shared" si="14"/>
        <v>0</v>
      </c>
      <c r="F28" s="30">
        <f t="shared" si="14"/>
        <v>0</v>
      </c>
      <c r="G28" s="30">
        <f t="shared" si="14"/>
        <v>0</v>
      </c>
      <c r="H28" s="30">
        <f t="shared" si="14"/>
        <v>0</v>
      </c>
      <c r="I28" s="30">
        <f t="shared" si="14"/>
        <v>0</v>
      </c>
      <c r="J28" s="30">
        <f t="shared" si="14"/>
        <v>0</v>
      </c>
      <c r="K28" s="30">
        <f t="shared" si="14"/>
        <v>0</v>
      </c>
      <c r="L28" s="30">
        <f t="shared" si="14"/>
        <v>0</v>
      </c>
      <c r="M28" s="30">
        <f t="shared" si="14"/>
        <v>0</v>
      </c>
      <c r="N28" s="30">
        <f t="shared" si="14"/>
        <v>0</v>
      </c>
      <c r="O28" s="40">
        <f t="shared" si="14"/>
        <v>0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8.0" customHeight="1">
      <c r="A29" s="36" t="s">
        <v>128</v>
      </c>
      <c r="B29" s="30">
        <f t="shared" ref="B29:O29" si="15">0</f>
        <v>0</v>
      </c>
      <c r="C29" s="30">
        <f t="shared" si="15"/>
        <v>0</v>
      </c>
      <c r="D29" s="30">
        <f t="shared" si="15"/>
        <v>0</v>
      </c>
      <c r="E29" s="30">
        <f t="shared" si="15"/>
        <v>0</v>
      </c>
      <c r="F29" s="30">
        <f t="shared" si="15"/>
        <v>0</v>
      </c>
      <c r="G29" s="30">
        <f t="shared" si="15"/>
        <v>0</v>
      </c>
      <c r="H29" s="30">
        <f t="shared" si="15"/>
        <v>0</v>
      </c>
      <c r="I29" s="30">
        <f t="shared" si="15"/>
        <v>0</v>
      </c>
      <c r="J29" s="30">
        <f t="shared" si="15"/>
        <v>0</v>
      </c>
      <c r="K29" s="30">
        <f t="shared" si="15"/>
        <v>0</v>
      </c>
      <c r="L29" s="30">
        <f t="shared" si="15"/>
        <v>0</v>
      </c>
      <c r="M29" s="30">
        <f t="shared" si="15"/>
        <v>0</v>
      </c>
      <c r="N29" s="30">
        <f t="shared" si="15"/>
        <v>0</v>
      </c>
      <c r="O29" s="40">
        <f t="shared" si="15"/>
        <v>0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8.0" customHeight="1">
      <c r="A30" s="36" t="s">
        <v>129</v>
      </c>
      <c r="B30" s="30">
        <f t="shared" ref="B30:O30" si="16">0</f>
        <v>0</v>
      </c>
      <c r="C30" s="30">
        <f t="shared" si="16"/>
        <v>0</v>
      </c>
      <c r="D30" s="30">
        <f t="shared" si="16"/>
        <v>0</v>
      </c>
      <c r="E30" s="30">
        <f t="shared" si="16"/>
        <v>0</v>
      </c>
      <c r="F30" s="30">
        <f t="shared" si="16"/>
        <v>0</v>
      </c>
      <c r="G30" s="30">
        <f t="shared" si="16"/>
        <v>0</v>
      </c>
      <c r="H30" s="30">
        <f t="shared" si="16"/>
        <v>0</v>
      </c>
      <c r="I30" s="30">
        <f t="shared" si="16"/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40">
        <f t="shared" si="16"/>
        <v>0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8.0" customHeight="1">
      <c r="A31" s="33" t="s">
        <v>130</v>
      </c>
      <c r="B31" s="34">
        <f t="shared" ref="B31:N31" si="17">SUM(B25:B30)</f>
        <v>0</v>
      </c>
      <c r="C31" s="34">
        <f t="shared" si="17"/>
        <v>0</v>
      </c>
      <c r="D31" s="34">
        <f t="shared" si="17"/>
        <v>0</v>
      </c>
      <c r="E31" s="34">
        <f t="shared" si="17"/>
        <v>0</v>
      </c>
      <c r="F31" s="34">
        <f t="shared" si="17"/>
        <v>0</v>
      </c>
      <c r="G31" s="34">
        <f t="shared" si="17"/>
        <v>0</v>
      </c>
      <c r="H31" s="34">
        <f t="shared" si="17"/>
        <v>0</v>
      </c>
      <c r="I31" s="34">
        <f t="shared" si="17"/>
        <v>0</v>
      </c>
      <c r="J31" s="34">
        <f t="shared" si="17"/>
        <v>0</v>
      </c>
      <c r="K31" s="34">
        <f t="shared" si="17"/>
        <v>0</v>
      </c>
      <c r="L31" s="34">
        <f t="shared" si="17"/>
        <v>0</v>
      </c>
      <c r="M31" s="34">
        <f t="shared" si="17"/>
        <v>0</v>
      </c>
      <c r="N31" s="34">
        <f t="shared" si="17"/>
        <v>0</v>
      </c>
      <c r="O31" s="35">
        <f>SUM(B31:N31)</f>
        <v>0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9.5" customHeight="1">
      <c r="A32" s="20" t="s">
        <v>131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8.0" customHeight="1">
      <c r="A33" s="29" t="s">
        <v>132</v>
      </c>
      <c r="B33" s="41">
        <v>3000.0</v>
      </c>
      <c r="C33" s="41">
        <v>0.0</v>
      </c>
      <c r="D33" s="41">
        <v>0.0</v>
      </c>
      <c r="E33" s="41">
        <v>0.0</v>
      </c>
      <c r="F33" s="41">
        <v>0.0</v>
      </c>
      <c r="G33" s="41">
        <v>0.0</v>
      </c>
      <c r="H33" s="41">
        <v>0.0</v>
      </c>
      <c r="I33" s="41">
        <v>0.0</v>
      </c>
      <c r="J33" s="41">
        <v>0.0</v>
      </c>
      <c r="K33" s="41">
        <v>0.0</v>
      </c>
      <c r="L33" s="41">
        <v>0.0</v>
      </c>
      <c r="M33" s="41">
        <v>0.0</v>
      </c>
      <c r="N33" s="41">
        <v>0.0</v>
      </c>
      <c r="O33" s="32">
        <f t="shared" ref="O33:O43" si="18">SUM(B33:N33)</f>
        <v>3000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8.0" customHeight="1">
      <c r="A34" s="29" t="s">
        <v>133</v>
      </c>
      <c r="B34" s="31">
        <v>0.0</v>
      </c>
      <c r="C34" s="30">
        <f>C9*Assumptions!B27*Assumptions!B26</f>
        <v>500</v>
      </c>
      <c r="D34" s="30">
        <f>D9*Assumptions!B27*Assumptions!B26</f>
        <v>625</v>
      </c>
      <c r="E34" s="30">
        <f>E9*Assumptions!B27*Assumptions!B26</f>
        <v>750</v>
      </c>
      <c r="F34" s="30">
        <f>F9*Assumptions!B27*Assumptions!B26</f>
        <v>750</v>
      </c>
      <c r="G34" s="30">
        <f>G9*Assumptions!B27*Assumptions!B26</f>
        <v>875</v>
      </c>
      <c r="H34" s="30">
        <f>H9*Assumptions!B27*Assumptions!B26</f>
        <v>875</v>
      </c>
      <c r="I34" s="30">
        <f>I9*Assumptions!B27*Assumptions!B26</f>
        <v>1000</v>
      </c>
      <c r="J34" s="30">
        <f>J9*Assumptions!B27*Assumptions!B26</f>
        <v>1000</v>
      </c>
      <c r="K34" s="30">
        <f>K9*Assumptions!B27*Assumptions!B26</f>
        <v>1125</v>
      </c>
      <c r="L34" s="30">
        <f>L9*Assumptions!B27*Assumptions!B26</f>
        <v>1125</v>
      </c>
      <c r="M34" s="30">
        <f>M9*Assumptions!B27*Assumptions!B26</f>
        <v>1250</v>
      </c>
      <c r="N34" s="30">
        <f>N9*Assumptions!B27*Assumptions!B26</f>
        <v>1250</v>
      </c>
      <c r="O34" s="32">
        <f t="shared" si="18"/>
        <v>11125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8.0" customHeight="1">
      <c r="A35" s="29" t="s">
        <v>134</v>
      </c>
      <c r="B35" s="41">
        <v>0.0</v>
      </c>
      <c r="C35" s="41">
        <v>1500.0</v>
      </c>
      <c r="D35" s="41">
        <v>1500.0</v>
      </c>
      <c r="E35" s="41">
        <v>1500.0</v>
      </c>
      <c r="F35" s="41">
        <v>1500.0</v>
      </c>
      <c r="G35" s="41">
        <v>1500.0</v>
      </c>
      <c r="H35" s="41">
        <v>1500.0</v>
      </c>
      <c r="I35" s="41">
        <v>2000.0</v>
      </c>
      <c r="J35" s="41">
        <v>2000.0</v>
      </c>
      <c r="K35" s="41">
        <v>2000.0</v>
      </c>
      <c r="L35" s="41">
        <v>2000.0</v>
      </c>
      <c r="M35" s="41">
        <v>2000.0</v>
      </c>
      <c r="N35" s="41">
        <v>2000.0</v>
      </c>
      <c r="O35" s="32">
        <f t="shared" si="18"/>
        <v>21000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8.0" customHeight="1">
      <c r="A36" s="29" t="s">
        <v>135</v>
      </c>
      <c r="B36" s="41">
        <v>500.0</v>
      </c>
      <c r="C36" s="41">
        <v>500.0</v>
      </c>
      <c r="D36" s="41">
        <v>500.0</v>
      </c>
      <c r="E36" s="41">
        <v>500.0</v>
      </c>
      <c r="F36" s="41">
        <v>500.0</v>
      </c>
      <c r="G36" s="41">
        <v>500.0</v>
      </c>
      <c r="H36" s="41">
        <v>500.0</v>
      </c>
      <c r="I36" s="41">
        <v>500.0</v>
      </c>
      <c r="J36" s="41">
        <v>500.0</v>
      </c>
      <c r="K36" s="41">
        <v>500.0</v>
      </c>
      <c r="L36" s="41">
        <v>500.0</v>
      </c>
      <c r="M36" s="41">
        <v>500.0</v>
      </c>
      <c r="N36" s="41">
        <v>500.0</v>
      </c>
      <c r="O36" s="32">
        <f t="shared" si="18"/>
        <v>6500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8.0" customHeight="1">
      <c r="A37" s="29" t="s">
        <v>136</v>
      </c>
      <c r="B37" s="41">
        <v>0.0</v>
      </c>
      <c r="C37" s="41">
        <v>300.0</v>
      </c>
      <c r="D37" s="41">
        <v>0.0</v>
      </c>
      <c r="E37" s="41">
        <v>0.0</v>
      </c>
      <c r="F37" s="41">
        <v>0.0</v>
      </c>
      <c r="G37" s="41">
        <v>0.0</v>
      </c>
      <c r="H37" s="41">
        <v>0.0</v>
      </c>
      <c r="I37" s="41">
        <v>0.0</v>
      </c>
      <c r="J37" s="41">
        <v>0.0</v>
      </c>
      <c r="K37" s="41">
        <v>0.0</v>
      </c>
      <c r="L37" s="41">
        <v>0.0</v>
      </c>
      <c r="M37" s="41">
        <v>0.0</v>
      </c>
      <c r="N37" s="41">
        <v>0.0</v>
      </c>
      <c r="O37" s="32">
        <f t="shared" si="18"/>
        <v>300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8.0" customHeight="1">
      <c r="A38" s="33" t="s">
        <v>137</v>
      </c>
      <c r="B38" s="34">
        <f t="shared" ref="B38:N38" si="19">SUM(B33:B37)</f>
        <v>3500</v>
      </c>
      <c r="C38" s="34">
        <f t="shared" si="19"/>
        <v>2800</v>
      </c>
      <c r="D38" s="34">
        <f t="shared" si="19"/>
        <v>2625</v>
      </c>
      <c r="E38" s="34">
        <f t="shared" si="19"/>
        <v>2750</v>
      </c>
      <c r="F38" s="34">
        <f t="shared" si="19"/>
        <v>2750</v>
      </c>
      <c r="G38" s="34">
        <f t="shared" si="19"/>
        <v>2875</v>
      </c>
      <c r="H38" s="34">
        <f t="shared" si="19"/>
        <v>2875</v>
      </c>
      <c r="I38" s="34">
        <f t="shared" si="19"/>
        <v>3500</v>
      </c>
      <c r="J38" s="34">
        <f t="shared" si="19"/>
        <v>3500</v>
      </c>
      <c r="K38" s="34">
        <f t="shared" si="19"/>
        <v>3625</v>
      </c>
      <c r="L38" s="34">
        <f t="shared" si="19"/>
        <v>3625</v>
      </c>
      <c r="M38" s="34">
        <f t="shared" si="19"/>
        <v>3750</v>
      </c>
      <c r="N38" s="34">
        <f t="shared" si="19"/>
        <v>3750</v>
      </c>
      <c r="O38" s="35">
        <f t="shared" si="18"/>
        <v>41925</v>
      </c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8.0" customHeight="1">
      <c r="A39" s="36" t="s">
        <v>138</v>
      </c>
      <c r="B39" s="41">
        <v>300.0</v>
      </c>
      <c r="C39" s="41">
        <v>300.0</v>
      </c>
      <c r="D39" s="41">
        <v>300.0</v>
      </c>
      <c r="E39" s="41">
        <v>300.0</v>
      </c>
      <c r="F39" s="41">
        <v>300.0</v>
      </c>
      <c r="G39" s="41">
        <v>300.0</v>
      </c>
      <c r="H39" s="41">
        <v>300.0</v>
      </c>
      <c r="I39" s="41">
        <v>300.0</v>
      </c>
      <c r="J39" s="41">
        <v>300.0</v>
      </c>
      <c r="K39" s="41">
        <v>300.0</v>
      </c>
      <c r="L39" s="41">
        <v>300.0</v>
      </c>
      <c r="M39" s="41">
        <v>300.0</v>
      </c>
      <c r="N39" s="41">
        <v>300.0</v>
      </c>
      <c r="O39" s="32">
        <f t="shared" si="18"/>
        <v>3900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8.0" customHeight="1">
      <c r="A40" s="36" t="s">
        <v>139</v>
      </c>
      <c r="B40" s="41">
        <v>200.0</v>
      </c>
      <c r="C40" s="41">
        <v>500.0</v>
      </c>
      <c r="D40" s="41">
        <v>500.0</v>
      </c>
      <c r="E40" s="41">
        <v>500.0</v>
      </c>
      <c r="F40" s="41">
        <v>500.0</v>
      </c>
      <c r="G40" s="41">
        <v>500.0</v>
      </c>
      <c r="H40" s="41">
        <v>500.0</v>
      </c>
      <c r="I40" s="41">
        <v>500.0</v>
      </c>
      <c r="J40" s="41">
        <v>500.0</v>
      </c>
      <c r="K40" s="41">
        <v>500.0</v>
      </c>
      <c r="L40" s="41">
        <v>500.0</v>
      </c>
      <c r="M40" s="41">
        <v>500.0</v>
      </c>
      <c r="N40" s="41">
        <v>500.0</v>
      </c>
      <c r="O40" s="32">
        <f t="shared" si="18"/>
        <v>6200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8.0" customHeight="1">
      <c r="A41" s="36" t="s">
        <v>140</v>
      </c>
      <c r="B41" s="41">
        <v>2500.0</v>
      </c>
      <c r="C41" s="41">
        <v>500.0</v>
      </c>
      <c r="D41" s="41">
        <v>500.0</v>
      </c>
      <c r="E41" s="41">
        <v>0.0</v>
      </c>
      <c r="F41" s="41">
        <v>0.0</v>
      </c>
      <c r="G41" s="41">
        <v>0.0</v>
      </c>
      <c r="H41" s="41">
        <v>0.0</v>
      </c>
      <c r="I41" s="41">
        <v>0.0</v>
      </c>
      <c r="J41" s="41">
        <v>0.0</v>
      </c>
      <c r="K41" s="41">
        <v>0.0</v>
      </c>
      <c r="L41" s="41">
        <v>0.0</v>
      </c>
      <c r="M41" s="41">
        <v>0.0</v>
      </c>
      <c r="N41" s="41">
        <v>0.0</v>
      </c>
      <c r="O41" s="32">
        <f t="shared" si="18"/>
        <v>3500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8.0" customHeight="1">
      <c r="A42" s="36" t="s">
        <v>141</v>
      </c>
      <c r="B42" s="42">
        <v>300.0</v>
      </c>
      <c r="C42" s="42">
        <v>300.0</v>
      </c>
      <c r="D42" s="42">
        <v>300.0</v>
      </c>
      <c r="E42" s="42">
        <v>300.0</v>
      </c>
      <c r="F42" s="42">
        <v>300.0</v>
      </c>
      <c r="G42" s="42">
        <v>300.0</v>
      </c>
      <c r="H42" s="42">
        <v>300.0</v>
      </c>
      <c r="I42" s="42">
        <v>300.0</v>
      </c>
      <c r="J42" s="42">
        <v>300.0</v>
      </c>
      <c r="K42" s="42">
        <v>300.0</v>
      </c>
      <c r="L42" s="42">
        <v>300.0</v>
      </c>
      <c r="M42" s="42">
        <v>300.0</v>
      </c>
      <c r="N42" s="42">
        <v>300.0</v>
      </c>
      <c r="O42" s="32">
        <f t="shared" si="18"/>
        <v>3900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8.0" customHeight="1">
      <c r="A43" s="33" t="s">
        <v>142</v>
      </c>
      <c r="B43" s="34">
        <f t="shared" ref="B43:N43" si="20">B31+B38+B39+B40+B41+B42</f>
        <v>6800</v>
      </c>
      <c r="C43" s="34">
        <f t="shared" si="20"/>
        <v>4400</v>
      </c>
      <c r="D43" s="34">
        <f t="shared" si="20"/>
        <v>4225</v>
      </c>
      <c r="E43" s="34">
        <f t="shared" si="20"/>
        <v>3850</v>
      </c>
      <c r="F43" s="34">
        <f t="shared" si="20"/>
        <v>3850</v>
      </c>
      <c r="G43" s="34">
        <f t="shared" si="20"/>
        <v>3975</v>
      </c>
      <c r="H43" s="34">
        <f t="shared" si="20"/>
        <v>3975</v>
      </c>
      <c r="I43" s="34">
        <f t="shared" si="20"/>
        <v>4600</v>
      </c>
      <c r="J43" s="34">
        <f t="shared" si="20"/>
        <v>4600</v>
      </c>
      <c r="K43" s="34">
        <f t="shared" si="20"/>
        <v>4725</v>
      </c>
      <c r="L43" s="34">
        <f t="shared" si="20"/>
        <v>4725</v>
      </c>
      <c r="M43" s="34">
        <f t="shared" si="20"/>
        <v>4850</v>
      </c>
      <c r="N43" s="34">
        <f t="shared" si="20"/>
        <v>4850</v>
      </c>
      <c r="O43" s="35">
        <f t="shared" si="18"/>
        <v>59425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4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27.75" customHeight="1">
      <c r="A46" s="43" t="s">
        <v>143</v>
      </c>
      <c r="B46" s="44">
        <f t="shared" ref="B46:N46" si="21">B20-B43</f>
        <v>-6800</v>
      </c>
      <c r="C46" s="44">
        <f t="shared" si="21"/>
        <v>-4814</v>
      </c>
      <c r="D46" s="44">
        <f t="shared" si="21"/>
        <v>-4938</v>
      </c>
      <c r="E46" s="44">
        <f t="shared" si="21"/>
        <v>-4880.4</v>
      </c>
      <c r="F46" s="44">
        <f t="shared" si="21"/>
        <v>-761.2</v>
      </c>
      <c r="G46" s="44">
        <f t="shared" si="21"/>
        <v>509.6</v>
      </c>
      <c r="H46" s="44">
        <f t="shared" si="21"/>
        <v>1737</v>
      </c>
      <c r="I46" s="44">
        <f t="shared" si="21"/>
        <v>2276</v>
      </c>
      <c r="J46" s="44">
        <f t="shared" si="21"/>
        <v>3495.6</v>
      </c>
      <c r="K46" s="44">
        <f t="shared" si="21"/>
        <v>4383.6</v>
      </c>
      <c r="L46" s="44">
        <f t="shared" si="21"/>
        <v>5438.4</v>
      </c>
      <c r="M46" s="44">
        <f t="shared" si="21"/>
        <v>6270</v>
      </c>
      <c r="N46" s="44">
        <f t="shared" si="21"/>
        <v>7556.8</v>
      </c>
      <c r="O46" s="44">
        <f>SUM(B46:N46)</f>
        <v>9473.4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9.5" customHeight="1">
      <c r="A48" s="28" t="s">
        <v>144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8.0" customHeight="1">
      <c r="A49" s="45" t="s">
        <v>145</v>
      </c>
      <c r="B49" s="46">
        <f>Assumptions!B5</f>
        <v>30000</v>
      </c>
      <c r="C49" s="46">
        <f t="shared" ref="C49:N49" si="22">0</f>
        <v>0</v>
      </c>
      <c r="D49" s="46">
        <f t="shared" si="22"/>
        <v>0</v>
      </c>
      <c r="E49" s="46">
        <f t="shared" si="22"/>
        <v>0</v>
      </c>
      <c r="F49" s="46">
        <f t="shared" si="22"/>
        <v>0</v>
      </c>
      <c r="G49" s="46">
        <f t="shared" si="22"/>
        <v>0</v>
      </c>
      <c r="H49" s="46">
        <f t="shared" si="22"/>
        <v>0</v>
      </c>
      <c r="I49" s="46">
        <f t="shared" si="22"/>
        <v>0</v>
      </c>
      <c r="J49" s="46">
        <f t="shared" si="22"/>
        <v>0</v>
      </c>
      <c r="K49" s="46">
        <f t="shared" si="22"/>
        <v>0</v>
      </c>
      <c r="L49" s="46">
        <f t="shared" si="22"/>
        <v>0</v>
      </c>
      <c r="M49" s="46">
        <f t="shared" si="22"/>
        <v>0</v>
      </c>
      <c r="N49" s="46">
        <f t="shared" si="22"/>
        <v>0</v>
      </c>
      <c r="O49" s="47">
        <f>Assumptions!B5</f>
        <v>30000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21.75" customHeight="1">
      <c r="A50" s="48" t="s">
        <v>146</v>
      </c>
      <c r="B50" s="49">
        <f>B49+B46</f>
        <v>23200</v>
      </c>
      <c r="C50" s="49">
        <f t="shared" ref="C50:N50" si="23">B50+C46</f>
        <v>18386</v>
      </c>
      <c r="D50" s="49">
        <f t="shared" si="23"/>
        <v>13448</v>
      </c>
      <c r="E50" s="49">
        <f t="shared" si="23"/>
        <v>8567.6</v>
      </c>
      <c r="F50" s="49">
        <f t="shared" si="23"/>
        <v>7806.4</v>
      </c>
      <c r="G50" s="49">
        <f t="shared" si="23"/>
        <v>8316</v>
      </c>
      <c r="H50" s="49">
        <f t="shared" si="23"/>
        <v>10053</v>
      </c>
      <c r="I50" s="49">
        <f t="shared" si="23"/>
        <v>12329</v>
      </c>
      <c r="J50" s="49">
        <f t="shared" si="23"/>
        <v>15824.6</v>
      </c>
      <c r="K50" s="49">
        <f t="shared" si="23"/>
        <v>20208.2</v>
      </c>
      <c r="L50" s="49">
        <f t="shared" si="23"/>
        <v>25646.6</v>
      </c>
      <c r="M50" s="49">
        <f t="shared" si="23"/>
        <v>31916.6</v>
      </c>
      <c r="N50" s="49">
        <f t="shared" si="23"/>
        <v>39473.4</v>
      </c>
      <c r="O50" s="49">
        <f>N50</f>
        <v>39473.4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9.5" customHeight="1">
      <c r="A52" s="28" t="s">
        <v>147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8.0" customHeight="1">
      <c r="A53" s="29" t="s">
        <v>148</v>
      </c>
      <c r="B53" s="50">
        <f t="shared" ref="B53:O53" si="24">IFERROR(B38/B9,0)</f>
        <v>17.5</v>
      </c>
      <c r="C53" s="50">
        <f t="shared" si="24"/>
        <v>14</v>
      </c>
      <c r="D53" s="50">
        <f t="shared" si="24"/>
        <v>10.5</v>
      </c>
      <c r="E53" s="50">
        <f t="shared" si="24"/>
        <v>9.166666667</v>
      </c>
      <c r="F53" s="50">
        <f t="shared" si="24"/>
        <v>9.166666667</v>
      </c>
      <c r="G53" s="50">
        <f t="shared" si="24"/>
        <v>8.214285714</v>
      </c>
      <c r="H53" s="50">
        <f t="shared" si="24"/>
        <v>8.214285714</v>
      </c>
      <c r="I53" s="50">
        <f t="shared" si="24"/>
        <v>8.75</v>
      </c>
      <c r="J53" s="50">
        <f t="shared" si="24"/>
        <v>8.75</v>
      </c>
      <c r="K53" s="50">
        <f t="shared" si="24"/>
        <v>8.055555556</v>
      </c>
      <c r="L53" s="50">
        <f t="shared" si="24"/>
        <v>8.055555556</v>
      </c>
      <c r="M53" s="50">
        <f t="shared" si="24"/>
        <v>7.5</v>
      </c>
      <c r="N53" s="50">
        <f t="shared" si="24"/>
        <v>7.5</v>
      </c>
      <c r="O53" s="51">
        <f t="shared" si="24"/>
        <v>9.016129032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29" t="s">
        <v>149</v>
      </c>
      <c r="B54" s="26">
        <v>0.13</v>
      </c>
      <c r="C54" s="26">
        <v>0.13</v>
      </c>
      <c r="D54" s="26">
        <v>0.13</v>
      </c>
      <c r="E54" s="26">
        <v>0.13</v>
      </c>
      <c r="F54" s="26">
        <v>0.13</v>
      </c>
      <c r="G54" s="26">
        <v>0.13</v>
      </c>
      <c r="H54" s="26">
        <v>0.13</v>
      </c>
      <c r="I54" s="26">
        <v>0.13</v>
      </c>
      <c r="J54" s="26">
        <v>0.13</v>
      </c>
      <c r="K54" s="26">
        <v>0.13</v>
      </c>
      <c r="L54" s="26">
        <v>0.13</v>
      </c>
      <c r="M54" s="26">
        <v>0.13</v>
      </c>
      <c r="N54" s="26">
        <v>0.13</v>
      </c>
      <c r="O54" s="52">
        <v>0.13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8.0" customHeight="1">
      <c r="A55" s="29" t="s">
        <v>150</v>
      </c>
      <c r="B55" s="25">
        <f t="shared" ref="B55:N55" si="25">IFERROR(B9/B54,0)</f>
        <v>1538.461538</v>
      </c>
      <c r="C55" s="25">
        <f t="shared" si="25"/>
        <v>1538.461538</v>
      </c>
      <c r="D55" s="25">
        <f t="shared" si="25"/>
        <v>1923.076923</v>
      </c>
      <c r="E55" s="25">
        <f t="shared" si="25"/>
        <v>2307.692308</v>
      </c>
      <c r="F55" s="25">
        <f t="shared" si="25"/>
        <v>2307.692308</v>
      </c>
      <c r="G55" s="25">
        <f t="shared" si="25"/>
        <v>2692.307692</v>
      </c>
      <c r="H55" s="25">
        <f t="shared" si="25"/>
        <v>2692.307692</v>
      </c>
      <c r="I55" s="25">
        <f t="shared" si="25"/>
        <v>3076.923077</v>
      </c>
      <c r="J55" s="25">
        <f t="shared" si="25"/>
        <v>3076.923077</v>
      </c>
      <c r="K55" s="25">
        <f t="shared" si="25"/>
        <v>3461.538462</v>
      </c>
      <c r="L55" s="25">
        <f t="shared" si="25"/>
        <v>3461.538462</v>
      </c>
      <c r="M55" s="25">
        <f t="shared" si="25"/>
        <v>3846.153846</v>
      </c>
      <c r="N55" s="25">
        <f t="shared" si="25"/>
        <v>3846.153846</v>
      </c>
      <c r="O55" s="53">
        <f>SUM(B55:N55)</f>
        <v>35769.23077</v>
      </c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8.0" customHeight="1">
      <c r="A56" s="29" t="s">
        <v>151</v>
      </c>
      <c r="B56" s="54">
        <f t="shared" ref="B56:O56" si="26">IFERROR(B8/B10,0)</f>
        <v>0</v>
      </c>
      <c r="C56" s="54">
        <f t="shared" si="26"/>
        <v>2.25</v>
      </c>
      <c r="D56" s="54">
        <f t="shared" si="26"/>
        <v>2.384615385</v>
      </c>
      <c r="E56" s="54">
        <f t="shared" si="26"/>
        <v>2.357894737</v>
      </c>
      <c r="F56" s="54">
        <f t="shared" si="26"/>
        <v>2.376</v>
      </c>
      <c r="G56" s="54">
        <f t="shared" si="26"/>
        <v>2.3375</v>
      </c>
      <c r="H56" s="54">
        <f t="shared" si="26"/>
        <v>2.333333333</v>
      </c>
      <c r="I56" s="54">
        <f t="shared" si="26"/>
        <v>2.29787234</v>
      </c>
      <c r="J56" s="54">
        <f t="shared" si="26"/>
        <v>2.287272727</v>
      </c>
      <c r="K56" s="54">
        <f t="shared" si="26"/>
        <v>2.1375</v>
      </c>
      <c r="L56" s="54">
        <f t="shared" si="26"/>
        <v>2.030136986</v>
      </c>
      <c r="M56" s="54">
        <f t="shared" si="26"/>
        <v>1.927710843</v>
      </c>
      <c r="N56" s="54">
        <f t="shared" si="26"/>
        <v>1.896774194</v>
      </c>
      <c r="O56" s="55">
        <f t="shared" si="26"/>
        <v>12.62580645</v>
      </c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8.0" customHeight="1">
      <c r="A57" s="29" t="s">
        <v>152</v>
      </c>
      <c r="B57" s="50">
        <f t="shared" ref="B57:N57" si="27">B38/B9</f>
        <v>17.5</v>
      </c>
      <c r="C57" s="50">
        <f t="shared" si="27"/>
        <v>14</v>
      </c>
      <c r="D57" s="50">
        <f t="shared" si="27"/>
        <v>10.5</v>
      </c>
      <c r="E57" s="50">
        <f t="shared" si="27"/>
        <v>9.166666667</v>
      </c>
      <c r="F57" s="50">
        <f t="shared" si="27"/>
        <v>9.166666667</v>
      </c>
      <c r="G57" s="50">
        <f t="shared" si="27"/>
        <v>8.214285714</v>
      </c>
      <c r="H57" s="50">
        <f t="shared" si="27"/>
        <v>8.214285714</v>
      </c>
      <c r="I57" s="50">
        <f t="shared" si="27"/>
        <v>8.75</v>
      </c>
      <c r="J57" s="50">
        <f t="shared" si="27"/>
        <v>8.75</v>
      </c>
      <c r="K57" s="50">
        <f t="shared" si="27"/>
        <v>8.055555556</v>
      </c>
      <c r="L57" s="50">
        <f t="shared" si="27"/>
        <v>8.055555556</v>
      </c>
      <c r="M57" s="50">
        <f t="shared" si="27"/>
        <v>7.5</v>
      </c>
      <c r="N57" s="50">
        <f t="shared" si="27"/>
        <v>7.5</v>
      </c>
      <c r="O57" s="56">
        <f>AVERAGE(B57:N57)</f>
        <v>9.644078144</v>
      </c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8.0" customHeight="1">
      <c r="A58" s="36" t="s">
        <v>153</v>
      </c>
      <c r="B58" s="25">
        <f>IFERROR(B34/B56,0)</f>
        <v>0</v>
      </c>
      <c r="C58" s="25">
        <f t="shared" ref="C58:N58" si="28">C34/10</f>
        <v>50</v>
      </c>
      <c r="D58" s="25">
        <f t="shared" si="28"/>
        <v>62.5</v>
      </c>
      <c r="E58" s="25">
        <f t="shared" si="28"/>
        <v>75</v>
      </c>
      <c r="F58" s="25">
        <f t="shared" si="28"/>
        <v>75</v>
      </c>
      <c r="G58" s="25">
        <f t="shared" si="28"/>
        <v>87.5</v>
      </c>
      <c r="H58" s="25">
        <f t="shared" si="28"/>
        <v>87.5</v>
      </c>
      <c r="I58" s="25">
        <f t="shared" si="28"/>
        <v>100</v>
      </c>
      <c r="J58" s="25">
        <f t="shared" si="28"/>
        <v>100</v>
      </c>
      <c r="K58" s="25">
        <f t="shared" si="28"/>
        <v>112.5</v>
      </c>
      <c r="L58" s="25">
        <f t="shared" si="28"/>
        <v>112.5</v>
      </c>
      <c r="M58" s="25">
        <f t="shared" si="28"/>
        <v>125</v>
      </c>
      <c r="N58" s="25">
        <f t="shared" si="28"/>
        <v>125</v>
      </c>
      <c r="O58" s="53">
        <f>SUM(B58:N58)</f>
        <v>1112.5</v>
      </c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36" t="s">
        <v>154</v>
      </c>
      <c r="B59" s="25"/>
      <c r="C59" s="57">
        <f t="shared" ref="C59:N59" si="29">C58/C9</f>
        <v>0.25</v>
      </c>
      <c r="D59" s="57">
        <f t="shared" si="29"/>
        <v>0.25</v>
      </c>
      <c r="E59" s="57">
        <f t="shared" si="29"/>
        <v>0.25</v>
      </c>
      <c r="F59" s="57">
        <f t="shared" si="29"/>
        <v>0.25</v>
      </c>
      <c r="G59" s="57">
        <f t="shared" si="29"/>
        <v>0.25</v>
      </c>
      <c r="H59" s="57">
        <f t="shared" si="29"/>
        <v>0.25</v>
      </c>
      <c r="I59" s="57">
        <f t="shared" si="29"/>
        <v>0.25</v>
      </c>
      <c r="J59" s="57">
        <f t="shared" si="29"/>
        <v>0.25</v>
      </c>
      <c r="K59" s="57">
        <f t="shared" si="29"/>
        <v>0.25</v>
      </c>
      <c r="L59" s="57">
        <f t="shared" si="29"/>
        <v>0.25</v>
      </c>
      <c r="M59" s="57">
        <f t="shared" si="29"/>
        <v>0.25</v>
      </c>
      <c r="N59" s="57">
        <f t="shared" si="29"/>
        <v>0.25</v>
      </c>
      <c r="O59" s="53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</sheetData>
  <mergeCells count="9">
    <mergeCell ref="A48:O48"/>
    <mergeCell ref="A52:O52"/>
    <mergeCell ref="A1:O1"/>
    <mergeCell ref="A3:O3"/>
    <mergeCell ref="A14:O14"/>
    <mergeCell ref="A18:O18"/>
    <mergeCell ref="A23:O23"/>
    <mergeCell ref="A24:O24"/>
    <mergeCell ref="A32:O3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1.0"/>
    <col customWidth="1" min="2" max="13" width="11.0"/>
    <col customWidth="1" min="14" max="14" width="14.0"/>
    <col customWidth="1" min="15" max="26" width="8.71"/>
  </cols>
  <sheetData>
    <row r="1" ht="36.0" customHeight="1">
      <c r="A1" s="58" t="s">
        <v>155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24.0" customHeight="1">
      <c r="A2" s="18" t="s">
        <v>89</v>
      </c>
      <c r="B2" s="60" t="s">
        <v>156</v>
      </c>
      <c r="C2" s="60" t="s">
        <v>157</v>
      </c>
      <c r="D2" s="60" t="s">
        <v>158</v>
      </c>
      <c r="E2" s="60" t="s">
        <v>159</v>
      </c>
      <c r="F2" s="60" t="s">
        <v>160</v>
      </c>
      <c r="G2" s="60" t="s">
        <v>161</v>
      </c>
      <c r="H2" s="60" t="s">
        <v>162</v>
      </c>
      <c r="I2" s="60" t="s">
        <v>163</v>
      </c>
      <c r="J2" s="60" t="s">
        <v>164</v>
      </c>
      <c r="K2" s="60" t="s">
        <v>165</v>
      </c>
      <c r="L2" s="60" t="s">
        <v>166</v>
      </c>
      <c r="M2" s="60" t="s">
        <v>167</v>
      </c>
      <c r="N2" s="61" t="s">
        <v>103</v>
      </c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9.5" customHeight="1">
      <c r="A3" s="20" t="s">
        <v>104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8.0" customHeight="1">
      <c r="A4" s="5" t="s">
        <v>105</v>
      </c>
      <c r="B4" s="22">
        <v>430.0</v>
      </c>
      <c r="C4" s="22">
        <v>450.0</v>
      </c>
      <c r="D4" s="22">
        <v>470.0</v>
      </c>
      <c r="E4" s="22">
        <v>490.0</v>
      </c>
      <c r="F4" s="22">
        <v>510.0</v>
      </c>
      <c r="G4" s="22">
        <v>530.0</v>
      </c>
      <c r="H4" s="22">
        <v>550.0</v>
      </c>
      <c r="I4" s="22">
        <v>570.0</v>
      </c>
      <c r="J4" s="22">
        <v>590.0</v>
      </c>
      <c r="K4" s="22">
        <v>610.0</v>
      </c>
      <c r="L4" s="22">
        <v>630.0</v>
      </c>
      <c r="M4" s="22">
        <v>650.0</v>
      </c>
      <c r="N4" s="23">
        <f>M4</f>
        <v>650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8.0" customHeight="1">
      <c r="A5" s="24" t="s">
        <v>106</v>
      </c>
      <c r="B5" s="25">
        <f>B4-'Y1 2027 Bootstrap'!N4</f>
        <v>10</v>
      </c>
      <c r="C5" s="25">
        <f t="shared" ref="C5:M5" si="1">C4-B4</f>
        <v>20</v>
      </c>
      <c r="D5" s="25">
        <f t="shared" si="1"/>
        <v>20</v>
      </c>
      <c r="E5" s="25">
        <f t="shared" si="1"/>
        <v>20</v>
      </c>
      <c r="F5" s="25">
        <f t="shared" si="1"/>
        <v>20</v>
      </c>
      <c r="G5" s="25">
        <f t="shared" si="1"/>
        <v>20</v>
      </c>
      <c r="H5" s="25">
        <f t="shared" si="1"/>
        <v>20</v>
      </c>
      <c r="I5" s="25">
        <f t="shared" si="1"/>
        <v>20</v>
      </c>
      <c r="J5" s="25">
        <f t="shared" si="1"/>
        <v>20</v>
      </c>
      <c r="K5" s="25">
        <f t="shared" si="1"/>
        <v>20</v>
      </c>
      <c r="L5" s="25">
        <f t="shared" si="1"/>
        <v>20</v>
      </c>
      <c r="M5" s="25">
        <f t="shared" si="1"/>
        <v>20</v>
      </c>
      <c r="N5" s="23">
        <f>SUM(B5:M5)</f>
        <v>230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8.0" customHeight="1">
      <c r="A6" s="5" t="s">
        <v>168</v>
      </c>
      <c r="B6" s="25">
        <f>B4/Assumptions!B21</f>
        <v>43</v>
      </c>
      <c r="C6" s="25">
        <f>C4/Assumptions!B21</f>
        <v>45</v>
      </c>
      <c r="D6" s="25">
        <f>D4/Assumptions!B21</f>
        <v>47</v>
      </c>
      <c r="E6" s="25">
        <f>E4/Assumptions!B21</f>
        <v>49</v>
      </c>
      <c r="F6" s="25">
        <f>F4/Assumptions!B21</f>
        <v>51</v>
      </c>
      <c r="G6" s="25">
        <f>G4/Assumptions!B21</f>
        <v>53</v>
      </c>
      <c r="H6" s="25">
        <f>H4/Assumptions!B21</f>
        <v>55</v>
      </c>
      <c r="I6" s="25">
        <f>I4/Assumptions!B21</f>
        <v>57</v>
      </c>
      <c r="J6" s="25">
        <f>J4/Assumptions!B21</f>
        <v>59</v>
      </c>
      <c r="K6" s="25">
        <f>K4/Assumptions!B21</f>
        <v>61</v>
      </c>
      <c r="L6" s="25">
        <f>L4/Assumptions!B21</f>
        <v>63</v>
      </c>
      <c r="M6" s="25">
        <f>M4/Assumptions!B21</f>
        <v>65</v>
      </c>
      <c r="N6" s="23">
        <f>M6</f>
        <v>65</v>
      </c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8.0" customHeight="1">
      <c r="A7" s="5" t="s">
        <v>108</v>
      </c>
      <c r="B7" s="22">
        <v>22.0</v>
      </c>
      <c r="C7" s="22">
        <v>25.0</v>
      </c>
      <c r="D7" s="22">
        <v>28.0</v>
      </c>
      <c r="E7" s="22">
        <v>32.0</v>
      </c>
      <c r="F7" s="22">
        <v>36.0</v>
      </c>
      <c r="G7" s="22">
        <v>40.0</v>
      </c>
      <c r="H7" s="22">
        <v>44.0</v>
      </c>
      <c r="I7" s="22">
        <v>48.0</v>
      </c>
      <c r="J7" s="22">
        <v>52.0</v>
      </c>
      <c r="K7" s="22">
        <v>55.0</v>
      </c>
      <c r="L7" s="22">
        <v>58.0</v>
      </c>
      <c r="M7" s="22">
        <v>60.0</v>
      </c>
      <c r="N7" s="23">
        <f t="shared" ref="N7:N9" si="3">SUM(B7:M7)</f>
        <v>500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8.0" customHeight="1">
      <c r="A8" s="5" t="s">
        <v>169</v>
      </c>
      <c r="B8" s="25">
        <f t="shared" ref="B8:M8" si="2">B4*B7</f>
        <v>9460</v>
      </c>
      <c r="C8" s="25">
        <f t="shared" si="2"/>
        <v>11250</v>
      </c>
      <c r="D8" s="25">
        <f t="shared" si="2"/>
        <v>13160</v>
      </c>
      <c r="E8" s="25">
        <f t="shared" si="2"/>
        <v>15680</v>
      </c>
      <c r="F8" s="25">
        <f t="shared" si="2"/>
        <v>18360</v>
      </c>
      <c r="G8" s="25">
        <f t="shared" si="2"/>
        <v>21200</v>
      </c>
      <c r="H8" s="25">
        <f t="shared" si="2"/>
        <v>24200</v>
      </c>
      <c r="I8" s="25">
        <f t="shared" si="2"/>
        <v>27360</v>
      </c>
      <c r="J8" s="25">
        <f t="shared" si="2"/>
        <v>30680</v>
      </c>
      <c r="K8" s="25">
        <f t="shared" si="2"/>
        <v>33550</v>
      </c>
      <c r="L8" s="25">
        <f t="shared" si="2"/>
        <v>36540</v>
      </c>
      <c r="M8" s="25">
        <f t="shared" si="2"/>
        <v>39000</v>
      </c>
      <c r="N8" s="23">
        <f t="shared" si="3"/>
        <v>280440</v>
      </c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8.0" customHeight="1">
      <c r="A9" s="5" t="s">
        <v>170</v>
      </c>
      <c r="B9" s="21">
        <v>900.0</v>
      </c>
      <c r="C9" s="22">
        <v>900.0</v>
      </c>
      <c r="D9" s="22">
        <v>1200.0</v>
      </c>
      <c r="E9" s="22">
        <v>1500.0</v>
      </c>
      <c r="F9" s="22">
        <v>1700.0</v>
      </c>
      <c r="G9" s="22">
        <v>1900.0</v>
      </c>
      <c r="H9" s="22">
        <v>1900.0</v>
      </c>
      <c r="I9" s="22">
        <v>2000.0</v>
      </c>
      <c r="J9" s="22">
        <v>2000.0</v>
      </c>
      <c r="K9" s="22">
        <v>2100.0</v>
      </c>
      <c r="L9" s="22">
        <v>2100.0</v>
      </c>
      <c r="M9" s="22">
        <v>2265.0</v>
      </c>
      <c r="N9" s="23">
        <f t="shared" si="3"/>
        <v>20465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8.0" customHeight="1">
      <c r="A10" s="5" t="s">
        <v>171</v>
      </c>
      <c r="B10" s="25">
        <f>'Y1 2027 Bootstrap'!O10+B9</f>
        <v>5550</v>
      </c>
      <c r="C10" s="25">
        <f t="shared" ref="C10:M10" si="4">B10+C9</f>
        <v>6450</v>
      </c>
      <c r="D10" s="25">
        <f t="shared" si="4"/>
        <v>7650</v>
      </c>
      <c r="E10" s="25">
        <f t="shared" si="4"/>
        <v>9150</v>
      </c>
      <c r="F10" s="25">
        <f t="shared" si="4"/>
        <v>10850</v>
      </c>
      <c r="G10" s="25">
        <f t="shared" si="4"/>
        <v>12750</v>
      </c>
      <c r="H10" s="25">
        <f t="shared" si="4"/>
        <v>14650</v>
      </c>
      <c r="I10" s="25">
        <f t="shared" si="4"/>
        <v>16650</v>
      </c>
      <c r="J10" s="25">
        <f t="shared" si="4"/>
        <v>18650</v>
      </c>
      <c r="K10" s="25">
        <f t="shared" si="4"/>
        <v>20750</v>
      </c>
      <c r="L10" s="25">
        <f t="shared" si="4"/>
        <v>22850</v>
      </c>
      <c r="M10" s="25">
        <f t="shared" si="4"/>
        <v>25115</v>
      </c>
      <c r="N10" s="23">
        <f t="shared" ref="N10:N12" si="5">M10</f>
        <v>25115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8.0" customHeight="1">
      <c r="A11" s="5" t="s">
        <v>112</v>
      </c>
      <c r="B11" s="26">
        <v>0.24</v>
      </c>
      <c r="C11" s="26">
        <v>0.26</v>
      </c>
      <c r="D11" s="26">
        <v>0.28</v>
      </c>
      <c r="E11" s="26">
        <v>0.3</v>
      </c>
      <c r="F11" s="26">
        <v>0.32</v>
      </c>
      <c r="G11" s="26">
        <v>0.34</v>
      </c>
      <c r="H11" s="26">
        <v>0.36</v>
      </c>
      <c r="I11" s="26">
        <v>0.38</v>
      </c>
      <c r="J11" s="26">
        <v>0.4</v>
      </c>
      <c r="K11" s="26">
        <v>0.42</v>
      </c>
      <c r="L11" s="26">
        <v>0.44</v>
      </c>
      <c r="M11" s="26">
        <v>0.46</v>
      </c>
      <c r="N11" s="27">
        <f t="shared" si="5"/>
        <v>0.46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8.0" customHeight="1">
      <c r="A12" s="5" t="s">
        <v>113</v>
      </c>
      <c r="B12" s="26">
        <v>0.0</v>
      </c>
      <c r="C12" s="26">
        <v>0.0</v>
      </c>
      <c r="D12" s="26">
        <v>0.05</v>
      </c>
      <c r="E12" s="26">
        <v>0.08</v>
      </c>
      <c r="F12" s="26">
        <v>0.1</v>
      </c>
      <c r="G12" s="26">
        <v>0.12</v>
      </c>
      <c r="H12" s="26">
        <v>0.15</v>
      </c>
      <c r="I12" s="26">
        <v>0.18</v>
      </c>
      <c r="J12" s="26">
        <v>0.2</v>
      </c>
      <c r="K12" s="26">
        <v>0.22</v>
      </c>
      <c r="L12" s="26">
        <v>0.24</v>
      </c>
      <c r="M12" s="26">
        <v>0.25</v>
      </c>
      <c r="N12" s="27">
        <f t="shared" si="5"/>
        <v>0.25</v>
      </c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9.5" customHeight="1">
      <c r="A14" s="28" t="s">
        <v>172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8.0" customHeight="1">
      <c r="A15" s="29" t="s">
        <v>173</v>
      </c>
      <c r="B15" s="30">
        <f>B8*(1-B12)*Assumptions!B15</f>
        <v>14190</v>
      </c>
      <c r="C15" s="30">
        <f>C8*(1-C12)*Assumptions!B15</f>
        <v>16875</v>
      </c>
      <c r="D15" s="30">
        <f>D8*(1-D12)*Assumptions!B15</f>
        <v>18753</v>
      </c>
      <c r="E15" s="30">
        <f>E8*(1-E12)*Assumptions!B15</f>
        <v>21638.4</v>
      </c>
      <c r="F15" s="30">
        <f>F8*(1-F12)*Assumptions!B15</f>
        <v>24786</v>
      </c>
      <c r="G15" s="30">
        <f>G8*(1-G12)*Assumptions!B15</f>
        <v>27984</v>
      </c>
      <c r="H15" s="30">
        <f>H8*(1-H12)*Assumptions!B15</f>
        <v>30855</v>
      </c>
      <c r="I15" s="30">
        <f>I8*(1-I12)*Assumptions!B15</f>
        <v>33652.8</v>
      </c>
      <c r="J15" s="30">
        <f>J8*(1-J12)*Assumptions!B15</f>
        <v>36816</v>
      </c>
      <c r="K15" s="30">
        <f>K8*(1-K12)*Assumptions!B15</f>
        <v>39253.5</v>
      </c>
      <c r="L15" s="30">
        <f>L8*(1-L12)*Assumptions!B15</f>
        <v>41655.6</v>
      </c>
      <c r="M15" s="30">
        <f>M8*(1-M12)*Assumptions!B15</f>
        <v>43875</v>
      </c>
      <c r="N15" s="32">
        <f t="shared" ref="N15:N18" si="6">SUM(B15:M15)</f>
        <v>350334.3</v>
      </c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8.0" customHeight="1">
      <c r="A16" s="29" t="s">
        <v>174</v>
      </c>
      <c r="B16" s="30">
        <f>B8*B12*Assumptions!B16</f>
        <v>0</v>
      </c>
      <c r="C16" s="30">
        <f>C8*C12*Assumptions!B16</f>
        <v>0</v>
      </c>
      <c r="D16" s="30">
        <f>D8*D12*Assumptions!B16</f>
        <v>1316</v>
      </c>
      <c r="E16" s="30">
        <f>E8*E12*Assumptions!B16</f>
        <v>2508.8</v>
      </c>
      <c r="F16" s="30">
        <f>F8*F12*Assumptions!B16</f>
        <v>3672</v>
      </c>
      <c r="G16" s="30">
        <f>G8*G12*Assumptions!B16</f>
        <v>5088</v>
      </c>
      <c r="H16" s="30">
        <f>H8*H12*Assumptions!B16</f>
        <v>7260</v>
      </c>
      <c r="I16" s="30">
        <f>I8*I12*Assumptions!B16</f>
        <v>9849.6</v>
      </c>
      <c r="J16" s="30">
        <f>J8*J12*Assumptions!B16</f>
        <v>12272</v>
      </c>
      <c r="K16" s="30">
        <f>K8*K12*Assumptions!B16</f>
        <v>14762</v>
      </c>
      <c r="L16" s="30">
        <f>L8*L12*Assumptions!B16</f>
        <v>17539.2</v>
      </c>
      <c r="M16" s="30">
        <f>M8*M12*Assumptions!B16</f>
        <v>19500</v>
      </c>
      <c r="N16" s="32">
        <f t="shared" si="6"/>
        <v>93767.6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8.0" customHeight="1">
      <c r="A17" s="29" t="s">
        <v>116</v>
      </c>
      <c r="B17" s="30">
        <f>B6*B11*Assumptions!B20</f>
        <v>3612</v>
      </c>
      <c r="C17" s="30">
        <f>C6*C11*Assumptions!B20</f>
        <v>4095</v>
      </c>
      <c r="D17" s="30">
        <f>D6*D11*Assumptions!B20</f>
        <v>4606</v>
      </c>
      <c r="E17" s="30">
        <f>E6*E11*Assumptions!B20</f>
        <v>5145</v>
      </c>
      <c r="F17" s="30">
        <f>F6*F11*Assumptions!B20</f>
        <v>5712</v>
      </c>
      <c r="G17" s="30">
        <f>G6*G11*Assumptions!B20</f>
        <v>6307</v>
      </c>
      <c r="H17" s="30">
        <f>H6*H11*Assumptions!B20</f>
        <v>6930</v>
      </c>
      <c r="I17" s="30">
        <f>I6*I11*Assumptions!B20</f>
        <v>7581</v>
      </c>
      <c r="J17" s="30">
        <f>J6*J11*Assumptions!B20</f>
        <v>8260</v>
      </c>
      <c r="K17" s="30">
        <f>K6*K11*Assumptions!B20</f>
        <v>8967</v>
      </c>
      <c r="L17" s="30">
        <f>L6*L11*Assumptions!B20</f>
        <v>9702</v>
      </c>
      <c r="M17" s="30">
        <f>M6*M11*Assumptions!B20</f>
        <v>10465</v>
      </c>
      <c r="N17" s="32">
        <f t="shared" si="6"/>
        <v>81382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8.0" customHeight="1">
      <c r="A18" s="33" t="s">
        <v>117</v>
      </c>
      <c r="B18" s="34">
        <f t="shared" ref="B18:M18" si="7">B15+B16+B17</f>
        <v>17802</v>
      </c>
      <c r="C18" s="34">
        <f t="shared" si="7"/>
        <v>20970</v>
      </c>
      <c r="D18" s="34">
        <f t="shared" si="7"/>
        <v>24675</v>
      </c>
      <c r="E18" s="34">
        <f t="shared" si="7"/>
        <v>29292.2</v>
      </c>
      <c r="F18" s="34">
        <f t="shared" si="7"/>
        <v>34170</v>
      </c>
      <c r="G18" s="34">
        <f t="shared" si="7"/>
        <v>39379</v>
      </c>
      <c r="H18" s="34">
        <f t="shared" si="7"/>
        <v>45045</v>
      </c>
      <c r="I18" s="34">
        <f t="shared" si="7"/>
        <v>51083.4</v>
      </c>
      <c r="J18" s="34">
        <f t="shared" si="7"/>
        <v>57348</v>
      </c>
      <c r="K18" s="34">
        <f t="shared" si="7"/>
        <v>62982.5</v>
      </c>
      <c r="L18" s="34">
        <f t="shared" si="7"/>
        <v>68896.8</v>
      </c>
      <c r="M18" s="34">
        <f t="shared" si="7"/>
        <v>73840</v>
      </c>
      <c r="N18" s="35">
        <f t="shared" si="6"/>
        <v>525483.9</v>
      </c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9.5" customHeight="1">
      <c r="A19" s="20" t="s">
        <v>118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8.0" customHeight="1">
      <c r="A20" s="36" t="s">
        <v>175</v>
      </c>
      <c r="B20" s="30">
        <f>B8*Assumptions!B17</f>
        <v>4351.6</v>
      </c>
      <c r="C20" s="30">
        <f>C8*Assumptions!B17</f>
        <v>5175</v>
      </c>
      <c r="D20" s="30">
        <f>D8*Assumptions!B17</f>
        <v>6053.6</v>
      </c>
      <c r="E20" s="30">
        <f>E8*Assumptions!B17</f>
        <v>7212.8</v>
      </c>
      <c r="F20" s="30">
        <f>F8*Assumptions!B17</f>
        <v>8445.6</v>
      </c>
      <c r="G20" s="30">
        <f>G8*Assumptions!B17</f>
        <v>9752</v>
      </c>
      <c r="H20" s="30">
        <f>H8*Assumptions!B17</f>
        <v>11132</v>
      </c>
      <c r="I20" s="30">
        <f>I8*Assumptions!B17</f>
        <v>12585.6</v>
      </c>
      <c r="J20" s="30">
        <f>J8*Assumptions!B17</f>
        <v>14112.8</v>
      </c>
      <c r="K20" s="30">
        <f>K8*Assumptions!B17</f>
        <v>15433</v>
      </c>
      <c r="L20" s="30">
        <f>L8*Assumptions!B17</f>
        <v>16808.4</v>
      </c>
      <c r="M20" s="30">
        <f>M8*Assumptions!B17</f>
        <v>17940</v>
      </c>
      <c r="N20" s="32">
        <f t="shared" ref="N20:N21" si="9">SUM(B20:M20)</f>
        <v>129002.4</v>
      </c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8.0" customHeight="1">
      <c r="A21" s="33" t="s">
        <v>176</v>
      </c>
      <c r="B21" s="34">
        <f t="shared" ref="B21:M21" si="8">B18-B20</f>
        <v>13450.4</v>
      </c>
      <c r="C21" s="34">
        <f t="shared" si="8"/>
        <v>15795</v>
      </c>
      <c r="D21" s="34">
        <f t="shared" si="8"/>
        <v>18621.4</v>
      </c>
      <c r="E21" s="34">
        <f t="shared" si="8"/>
        <v>22079.4</v>
      </c>
      <c r="F21" s="34">
        <f t="shared" si="8"/>
        <v>25724.4</v>
      </c>
      <c r="G21" s="34">
        <f t="shared" si="8"/>
        <v>29627</v>
      </c>
      <c r="H21" s="34">
        <f t="shared" si="8"/>
        <v>33913</v>
      </c>
      <c r="I21" s="34">
        <f t="shared" si="8"/>
        <v>38497.8</v>
      </c>
      <c r="J21" s="34">
        <f t="shared" si="8"/>
        <v>43235.2</v>
      </c>
      <c r="K21" s="34">
        <f t="shared" si="8"/>
        <v>47549.5</v>
      </c>
      <c r="L21" s="34">
        <f t="shared" si="8"/>
        <v>52088.4</v>
      </c>
      <c r="M21" s="34">
        <f t="shared" si="8"/>
        <v>55900</v>
      </c>
      <c r="N21" s="35">
        <f t="shared" si="9"/>
        <v>396481.5</v>
      </c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8.0" customHeight="1">
      <c r="A22" s="37" t="s">
        <v>177</v>
      </c>
      <c r="B22" s="38">
        <f t="shared" ref="B22:N22" si="10">IFERROR(B21/B18,0)</f>
        <v>0.7555555556</v>
      </c>
      <c r="C22" s="38">
        <f t="shared" si="10"/>
        <v>0.7532188841</v>
      </c>
      <c r="D22" s="38">
        <f t="shared" si="10"/>
        <v>0.7546666667</v>
      </c>
      <c r="E22" s="38">
        <f t="shared" si="10"/>
        <v>0.7537638006</v>
      </c>
      <c r="F22" s="38">
        <f t="shared" si="10"/>
        <v>0.7528358209</v>
      </c>
      <c r="G22" s="38">
        <f t="shared" si="10"/>
        <v>0.7523553163</v>
      </c>
      <c r="H22" s="38">
        <f t="shared" si="10"/>
        <v>0.7528693529</v>
      </c>
      <c r="I22" s="38">
        <f t="shared" si="10"/>
        <v>0.7536264227</v>
      </c>
      <c r="J22" s="38">
        <f t="shared" si="10"/>
        <v>0.753909465</v>
      </c>
      <c r="K22" s="38">
        <f t="shared" si="10"/>
        <v>0.7549636804</v>
      </c>
      <c r="L22" s="38">
        <f t="shared" si="10"/>
        <v>0.7560351134</v>
      </c>
      <c r="M22" s="38">
        <f t="shared" si="10"/>
        <v>0.7570422535</v>
      </c>
      <c r="N22" s="27">
        <f t="shared" si="10"/>
        <v>0.7545074169</v>
      </c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9.5" customHeight="1">
      <c r="A24" s="39" t="s">
        <v>178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6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9.5" customHeight="1">
      <c r="A25" s="20" t="s">
        <v>179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8.0" customHeight="1">
      <c r="A26" s="29" t="s">
        <v>180</v>
      </c>
      <c r="B26" s="30">
        <f>Assumptions!B38/12</f>
        <v>6250</v>
      </c>
      <c r="C26" s="30">
        <f>Assumptions!B38/12</f>
        <v>6250</v>
      </c>
      <c r="D26" s="30">
        <f>Assumptions!B38/12</f>
        <v>6250</v>
      </c>
      <c r="E26" s="30">
        <f>Assumptions!B38/12</f>
        <v>6250</v>
      </c>
      <c r="F26" s="30">
        <f>Assumptions!B38/12</f>
        <v>6250</v>
      </c>
      <c r="G26" s="30">
        <f>Assumptions!B38/12</f>
        <v>6250</v>
      </c>
      <c r="H26" s="30">
        <f>Assumptions!B38/12</f>
        <v>6250</v>
      </c>
      <c r="I26" s="30">
        <f>Assumptions!B38/12</f>
        <v>6250</v>
      </c>
      <c r="J26" s="30">
        <f>Assumptions!B38/12</f>
        <v>6250</v>
      </c>
      <c r="K26" s="30">
        <f>Assumptions!B38/12</f>
        <v>6250</v>
      </c>
      <c r="L26" s="30">
        <f>Assumptions!B38/12</f>
        <v>6250</v>
      </c>
      <c r="M26" s="30">
        <f>Assumptions!B38/12</f>
        <v>6250</v>
      </c>
      <c r="N26" s="32">
        <f t="shared" ref="N26:N34" si="11">SUM(B26:M26)</f>
        <v>75000</v>
      </c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8.0" customHeight="1">
      <c r="A27" s="29" t="s">
        <v>181</v>
      </c>
      <c r="B27" s="30">
        <f>Assumptions!B38/12</f>
        <v>6250</v>
      </c>
      <c r="C27" s="30">
        <f>Assumptions!B38/12</f>
        <v>6250</v>
      </c>
      <c r="D27" s="30">
        <f>Assumptions!B38/12</f>
        <v>6250</v>
      </c>
      <c r="E27" s="30">
        <f>Assumptions!B38/12</f>
        <v>6250</v>
      </c>
      <c r="F27" s="30">
        <f>Assumptions!B38/12</f>
        <v>6250</v>
      </c>
      <c r="G27" s="30">
        <f>Assumptions!B38/12</f>
        <v>6250</v>
      </c>
      <c r="H27" s="30">
        <f>Assumptions!B38/12</f>
        <v>6250</v>
      </c>
      <c r="I27" s="30">
        <f>Assumptions!B38/12</f>
        <v>6250</v>
      </c>
      <c r="J27" s="30">
        <f>Assumptions!B38/12</f>
        <v>6250</v>
      </c>
      <c r="K27" s="30">
        <f>Assumptions!B38/12</f>
        <v>6250</v>
      </c>
      <c r="L27" s="30">
        <f>Assumptions!B38/12</f>
        <v>6250</v>
      </c>
      <c r="M27" s="30">
        <f>Assumptions!B38/12</f>
        <v>6250</v>
      </c>
      <c r="N27" s="32">
        <f t="shared" si="11"/>
        <v>75000</v>
      </c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29" t="s">
        <v>182</v>
      </c>
      <c r="B28" s="30">
        <f>Assumptions!B39*(1+Assumptions!B42)/12</f>
        <v>5215.833333</v>
      </c>
      <c r="C28" s="30">
        <f>Assumptions!B39*(1+Assumptions!B42)/12</f>
        <v>5215.833333</v>
      </c>
      <c r="D28" s="30">
        <f>Assumptions!B39*(1+Assumptions!B42)/12</f>
        <v>5215.833333</v>
      </c>
      <c r="E28" s="30">
        <f>Assumptions!B39*(1+Assumptions!B42)/12</f>
        <v>5215.833333</v>
      </c>
      <c r="F28" s="30">
        <f>Assumptions!B39*(1+Assumptions!B42)/12</f>
        <v>5215.833333</v>
      </c>
      <c r="G28" s="30">
        <f>Assumptions!B39*(1+Assumptions!B42)/12</f>
        <v>5215.833333</v>
      </c>
      <c r="H28" s="30">
        <f>Assumptions!B39*(1+Assumptions!B42)/12</f>
        <v>5215.833333</v>
      </c>
      <c r="I28" s="30">
        <f>Assumptions!B39*(1+Assumptions!B42)/12</f>
        <v>5215.833333</v>
      </c>
      <c r="J28" s="30">
        <f>Assumptions!B39*(1+Assumptions!B42)/12</f>
        <v>5215.833333</v>
      </c>
      <c r="K28" s="30">
        <f>Assumptions!B39*(1+Assumptions!B42)/12</f>
        <v>5215.833333</v>
      </c>
      <c r="L28" s="30">
        <f>Assumptions!B39*(1+Assumptions!B42)/12</f>
        <v>5215.833333</v>
      </c>
      <c r="M28" s="30">
        <f>Assumptions!B39*(1+Assumptions!B42)/12</f>
        <v>5215.833333</v>
      </c>
      <c r="N28" s="32">
        <f t="shared" si="11"/>
        <v>62590</v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29" t="s">
        <v>183</v>
      </c>
      <c r="B29" s="30">
        <f>Assumptions!B39*(1+Assumptions!B42)/12</f>
        <v>5215.833333</v>
      </c>
      <c r="C29" s="30">
        <f>Assumptions!B39*(1+Assumptions!B42)/12</f>
        <v>5215.833333</v>
      </c>
      <c r="D29" s="30">
        <f>Assumptions!B39*(1+Assumptions!B42)/12</f>
        <v>5215.833333</v>
      </c>
      <c r="E29" s="30">
        <f>Assumptions!B39*(1+Assumptions!B42)/12</f>
        <v>5215.833333</v>
      </c>
      <c r="F29" s="30">
        <f>Assumptions!B39*(1+Assumptions!B42)/12</f>
        <v>5215.833333</v>
      </c>
      <c r="G29" s="30">
        <f>Assumptions!B39*(1+Assumptions!B42)/12</f>
        <v>5215.833333</v>
      </c>
      <c r="H29" s="30">
        <f>Assumptions!B39*(1+Assumptions!B42)/12</f>
        <v>5215.833333</v>
      </c>
      <c r="I29" s="30">
        <f>Assumptions!B39*(1+Assumptions!B42)/12</f>
        <v>5215.833333</v>
      </c>
      <c r="J29" s="30">
        <f>Assumptions!B39*(1+Assumptions!B42)/12</f>
        <v>5215.833333</v>
      </c>
      <c r="K29" s="30">
        <f>Assumptions!B39*(1+Assumptions!B42)/12</f>
        <v>5215.833333</v>
      </c>
      <c r="L29" s="30">
        <f>Assumptions!B39*(1+Assumptions!B42)/12</f>
        <v>5215.833333</v>
      </c>
      <c r="M29" s="30">
        <f>Assumptions!B39*(1+Assumptions!B42)/12</f>
        <v>5215.833333</v>
      </c>
      <c r="N29" s="32">
        <f t="shared" si="11"/>
        <v>62590</v>
      </c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8.0" customHeight="1">
      <c r="A30" s="29" t="s">
        <v>184</v>
      </c>
      <c r="B30" s="30">
        <f>Assumptions!B40*(1+Assumptions!B42)/12</f>
        <v>3793.333333</v>
      </c>
      <c r="C30" s="30">
        <f>Assumptions!B40*(1+Assumptions!B42)/12</f>
        <v>3793.333333</v>
      </c>
      <c r="D30" s="30">
        <f>Assumptions!B40*(1+Assumptions!B42)/12</f>
        <v>3793.333333</v>
      </c>
      <c r="E30" s="30">
        <f>Assumptions!B40*(1+Assumptions!B42)/12</f>
        <v>3793.333333</v>
      </c>
      <c r="F30" s="30">
        <f>Assumptions!B40*(1+Assumptions!B42)/12</f>
        <v>3793.333333</v>
      </c>
      <c r="G30" s="30">
        <f>Assumptions!B40*(1+Assumptions!B42)/12</f>
        <v>3793.333333</v>
      </c>
      <c r="H30" s="30">
        <f>Assumptions!B40*(1+Assumptions!B42)/12</f>
        <v>3793.333333</v>
      </c>
      <c r="I30" s="30">
        <f>Assumptions!B40*(1+Assumptions!B42)/12</f>
        <v>3793.333333</v>
      </c>
      <c r="J30" s="30">
        <f>Assumptions!B40*(1+Assumptions!B42)/12</f>
        <v>3793.333333</v>
      </c>
      <c r="K30" s="30">
        <f>Assumptions!B40*(1+Assumptions!B42)/12</f>
        <v>3793.333333</v>
      </c>
      <c r="L30" s="30">
        <f>Assumptions!B40*(1+Assumptions!B42)/12</f>
        <v>3793.333333</v>
      </c>
      <c r="M30" s="30">
        <f>Assumptions!B40*(1+Assumptions!B42)/12</f>
        <v>3793.333333</v>
      </c>
      <c r="N30" s="32">
        <f t="shared" si="11"/>
        <v>45520</v>
      </c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8.0" customHeight="1">
      <c r="A31" s="29" t="s">
        <v>185</v>
      </c>
      <c r="B31" s="30">
        <f>Assumptions!B40*(1+Assumptions!B42)/12</f>
        <v>3793.333333</v>
      </c>
      <c r="C31" s="30">
        <f>Assumptions!B40*(1+Assumptions!B42)/12</f>
        <v>3793.333333</v>
      </c>
      <c r="D31" s="30">
        <f>Assumptions!B40*(1+Assumptions!B42)/12</f>
        <v>3793.333333</v>
      </c>
      <c r="E31" s="30">
        <f>Assumptions!B40*(1+Assumptions!B42)/12</f>
        <v>3793.333333</v>
      </c>
      <c r="F31" s="30">
        <f>Assumptions!B40*(1+Assumptions!B42)/12</f>
        <v>3793.333333</v>
      </c>
      <c r="G31" s="30">
        <f>Assumptions!B40*(1+Assumptions!B42)/12</f>
        <v>3793.333333</v>
      </c>
      <c r="H31" s="30">
        <f>Assumptions!B40*(1+Assumptions!B42)/12</f>
        <v>3793.333333</v>
      </c>
      <c r="I31" s="30">
        <f>Assumptions!B40*(1+Assumptions!B42)/12</f>
        <v>3793.333333</v>
      </c>
      <c r="J31" s="30">
        <f>Assumptions!B40*(1+Assumptions!B42)/12</f>
        <v>3793.333333</v>
      </c>
      <c r="K31" s="30">
        <f>Assumptions!B40*(1+Assumptions!B42)/12</f>
        <v>3793.333333</v>
      </c>
      <c r="L31" s="30">
        <f>Assumptions!B40*(1+Assumptions!B42)/12</f>
        <v>3793.333333</v>
      </c>
      <c r="M31" s="30">
        <f>Assumptions!B40*(1+Assumptions!B42)/12</f>
        <v>3793.333333</v>
      </c>
      <c r="N31" s="32">
        <f t="shared" si="11"/>
        <v>45520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8.0" customHeight="1">
      <c r="A32" s="29" t="s">
        <v>186</v>
      </c>
      <c r="B32" s="30">
        <f>Assumptions!B40*(1+Assumptions!B42)/12</f>
        <v>3793.333333</v>
      </c>
      <c r="C32" s="30">
        <f>Assumptions!B40*(1+Assumptions!B42)/12</f>
        <v>3793.333333</v>
      </c>
      <c r="D32" s="30">
        <f>Assumptions!B40*(1+Assumptions!B42)/12</f>
        <v>3793.333333</v>
      </c>
      <c r="E32" s="30">
        <f>Assumptions!B40*(1+Assumptions!B42)/12</f>
        <v>3793.333333</v>
      </c>
      <c r="F32" s="30">
        <f>Assumptions!B40*(1+Assumptions!B42)/12</f>
        <v>3793.333333</v>
      </c>
      <c r="G32" s="30">
        <f>Assumptions!B40*(1+Assumptions!B42)/12</f>
        <v>3793.333333</v>
      </c>
      <c r="H32" s="30">
        <f>Assumptions!B40*(1+Assumptions!B42)/12</f>
        <v>3793.333333</v>
      </c>
      <c r="I32" s="30">
        <f>Assumptions!B40*(1+Assumptions!B42)/12</f>
        <v>3793.333333</v>
      </c>
      <c r="J32" s="30">
        <f>Assumptions!B40*(1+Assumptions!B42)/12</f>
        <v>3793.333333</v>
      </c>
      <c r="K32" s="30">
        <f>Assumptions!B40*(1+Assumptions!B42)/12</f>
        <v>3793.333333</v>
      </c>
      <c r="L32" s="30">
        <f>Assumptions!B40*(1+Assumptions!B42)/12</f>
        <v>3793.333333</v>
      </c>
      <c r="M32" s="30">
        <f>Assumptions!B40*(1+Assumptions!B42)/12</f>
        <v>3793.333333</v>
      </c>
      <c r="N32" s="32">
        <f t="shared" si="11"/>
        <v>45520</v>
      </c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8.0" customHeight="1">
      <c r="A33" s="29" t="s">
        <v>187</v>
      </c>
      <c r="B33" s="30">
        <f>0</f>
        <v>0</v>
      </c>
      <c r="C33" s="30">
        <f>Assumptions!B41*(1+Assumptions!B42)/12</f>
        <v>5690</v>
      </c>
      <c r="D33" s="30">
        <f>Assumptions!B41*(1+Assumptions!B42)/12</f>
        <v>5690</v>
      </c>
      <c r="E33" s="30">
        <f>Assumptions!B41*(1+Assumptions!B42)/12</f>
        <v>5690</v>
      </c>
      <c r="F33" s="30">
        <f>Assumptions!B41*(1+Assumptions!B42)/12</f>
        <v>5690</v>
      </c>
      <c r="G33" s="30">
        <f>Assumptions!B41*(1+Assumptions!B42)/12</f>
        <v>5690</v>
      </c>
      <c r="H33" s="30">
        <f>Assumptions!B41*(1+Assumptions!B42)/12</f>
        <v>5690</v>
      </c>
      <c r="I33" s="30">
        <f>Assumptions!B41*(1+Assumptions!B42)/12</f>
        <v>5690</v>
      </c>
      <c r="J33" s="30">
        <f>Assumptions!B41*(1+Assumptions!B42)/12</f>
        <v>5690</v>
      </c>
      <c r="K33" s="30">
        <f>Assumptions!B41*(1+Assumptions!B42)/12</f>
        <v>5690</v>
      </c>
      <c r="L33" s="30">
        <f>Assumptions!B41*(1+Assumptions!B42)/12</f>
        <v>5690</v>
      </c>
      <c r="M33" s="30">
        <f>Assumptions!B41*(1+Assumptions!B42)/12</f>
        <v>5690</v>
      </c>
      <c r="N33" s="32">
        <f t="shared" si="11"/>
        <v>62590</v>
      </c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8.0" customHeight="1">
      <c r="A34" s="33" t="s">
        <v>130</v>
      </c>
      <c r="B34" s="34">
        <f t="shared" ref="B34:M34" si="12">SUM(B26:B33)</f>
        <v>34311.66667</v>
      </c>
      <c r="C34" s="34">
        <f t="shared" si="12"/>
        <v>40001.66667</v>
      </c>
      <c r="D34" s="34">
        <f t="shared" si="12"/>
        <v>40001.66667</v>
      </c>
      <c r="E34" s="34">
        <f t="shared" si="12"/>
        <v>40001.66667</v>
      </c>
      <c r="F34" s="34">
        <f t="shared" si="12"/>
        <v>40001.66667</v>
      </c>
      <c r="G34" s="34">
        <f t="shared" si="12"/>
        <v>40001.66667</v>
      </c>
      <c r="H34" s="34">
        <f t="shared" si="12"/>
        <v>40001.66667</v>
      </c>
      <c r="I34" s="34">
        <f t="shared" si="12"/>
        <v>40001.66667</v>
      </c>
      <c r="J34" s="34">
        <f t="shared" si="12"/>
        <v>40001.66667</v>
      </c>
      <c r="K34" s="34">
        <f t="shared" si="12"/>
        <v>40001.66667</v>
      </c>
      <c r="L34" s="34">
        <f t="shared" si="12"/>
        <v>40001.66667</v>
      </c>
      <c r="M34" s="34">
        <f t="shared" si="12"/>
        <v>40001.66667</v>
      </c>
      <c r="N34" s="35">
        <f t="shared" si="11"/>
        <v>474330</v>
      </c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9.5" customHeight="1">
      <c r="A35" s="20" t="s">
        <v>131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6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8.0" customHeight="1">
      <c r="A36" s="29" t="s">
        <v>133</v>
      </c>
      <c r="B36" s="30">
        <f>B9*Assumptions!B28*Assumptions!B26</f>
        <v>2700</v>
      </c>
      <c r="C36" s="30">
        <f>C9*Assumptions!B28*Assumptions!B26</f>
        <v>2700</v>
      </c>
      <c r="D36" s="30">
        <f>D9*Assumptions!B28*Assumptions!B26</f>
        <v>3600</v>
      </c>
      <c r="E36" s="30">
        <f>E9*Assumptions!B28*Assumptions!B26</f>
        <v>4500</v>
      </c>
      <c r="F36" s="30">
        <f>F9*Assumptions!B28*Assumptions!B26</f>
        <v>5100</v>
      </c>
      <c r="G36" s="30">
        <f>G9*Assumptions!B28*Assumptions!B26</f>
        <v>5700</v>
      </c>
      <c r="H36" s="30">
        <f>H9*Assumptions!B28*Assumptions!B26</f>
        <v>5700</v>
      </c>
      <c r="I36" s="30">
        <f>I9*Assumptions!B28*Assumptions!B26</f>
        <v>6000</v>
      </c>
      <c r="J36" s="30">
        <f>J9*Assumptions!B28*Assumptions!B26</f>
        <v>6000</v>
      </c>
      <c r="K36" s="30">
        <f>K9*Assumptions!B28*Assumptions!B26</f>
        <v>6300</v>
      </c>
      <c r="L36" s="30">
        <f>L9*Assumptions!B28*Assumptions!B26</f>
        <v>6300</v>
      </c>
      <c r="M36" s="30">
        <f>M9*Assumptions!B28*Assumptions!B26</f>
        <v>6795</v>
      </c>
      <c r="N36" s="32">
        <f t="shared" ref="N36:N46" si="13">SUM(B36:M36)</f>
        <v>61395</v>
      </c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8.0" customHeight="1">
      <c r="A37" s="36" t="s">
        <v>188</v>
      </c>
      <c r="B37" s="41">
        <v>9500.0</v>
      </c>
      <c r="C37" s="41">
        <v>9500.0</v>
      </c>
      <c r="D37" s="41">
        <v>9500.0</v>
      </c>
      <c r="E37" s="41">
        <v>12500.0</v>
      </c>
      <c r="F37" s="41">
        <v>15500.0</v>
      </c>
      <c r="G37" s="41">
        <v>18000.0</v>
      </c>
      <c r="H37" s="41">
        <v>20500.0</v>
      </c>
      <c r="I37" s="41">
        <v>23000.0</v>
      </c>
      <c r="J37" s="41">
        <v>25000.0</v>
      </c>
      <c r="K37" s="41">
        <v>27000.0</v>
      </c>
      <c r="L37" s="41">
        <v>29000.0</v>
      </c>
      <c r="M37" s="41">
        <v>31000.0</v>
      </c>
      <c r="N37" s="32">
        <f t="shared" si="13"/>
        <v>230000</v>
      </c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8.0" customHeight="1">
      <c r="A38" s="36" t="s">
        <v>189</v>
      </c>
      <c r="B38" s="41">
        <v>1500.0</v>
      </c>
      <c r="C38" s="41">
        <v>2000.0</v>
      </c>
      <c r="D38" s="41">
        <v>2000.0</v>
      </c>
      <c r="E38" s="41">
        <v>2000.0</v>
      </c>
      <c r="F38" s="41">
        <v>2500.0</v>
      </c>
      <c r="G38" s="41">
        <v>2500.0</v>
      </c>
      <c r="H38" s="41">
        <v>2500.0</v>
      </c>
      <c r="I38" s="41">
        <v>2500.0</v>
      </c>
      <c r="J38" s="41">
        <v>2500.0</v>
      </c>
      <c r="K38" s="41">
        <v>2500.0</v>
      </c>
      <c r="L38" s="41">
        <v>2500.0</v>
      </c>
      <c r="M38" s="41">
        <v>2500.0</v>
      </c>
      <c r="N38" s="32">
        <f t="shared" si="13"/>
        <v>27500</v>
      </c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8.0" customHeight="1">
      <c r="A39" s="33" t="s">
        <v>137</v>
      </c>
      <c r="B39" s="34">
        <f t="shared" ref="B39:M39" si="14">SUM(B36:B38)</f>
        <v>13700</v>
      </c>
      <c r="C39" s="34">
        <f t="shared" si="14"/>
        <v>14200</v>
      </c>
      <c r="D39" s="34">
        <f t="shared" si="14"/>
        <v>15100</v>
      </c>
      <c r="E39" s="34">
        <f t="shared" si="14"/>
        <v>19000</v>
      </c>
      <c r="F39" s="34">
        <f t="shared" si="14"/>
        <v>23100</v>
      </c>
      <c r="G39" s="34">
        <f t="shared" si="14"/>
        <v>26200</v>
      </c>
      <c r="H39" s="34">
        <f t="shared" si="14"/>
        <v>28700</v>
      </c>
      <c r="I39" s="34">
        <f t="shared" si="14"/>
        <v>31500</v>
      </c>
      <c r="J39" s="34">
        <f t="shared" si="14"/>
        <v>33500</v>
      </c>
      <c r="K39" s="34">
        <f t="shared" si="14"/>
        <v>35800</v>
      </c>
      <c r="L39" s="34">
        <f t="shared" si="14"/>
        <v>37800</v>
      </c>
      <c r="M39" s="34">
        <f t="shared" si="14"/>
        <v>40295</v>
      </c>
      <c r="N39" s="35">
        <f t="shared" si="13"/>
        <v>318895</v>
      </c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8.0" customHeight="1">
      <c r="A40" s="36" t="s">
        <v>190</v>
      </c>
      <c r="B40" s="41">
        <v>3000.0</v>
      </c>
      <c r="C40" s="41">
        <v>2000.0</v>
      </c>
      <c r="D40" s="41">
        <v>2000.0</v>
      </c>
      <c r="E40" s="41">
        <v>2000.0</v>
      </c>
      <c r="F40" s="41">
        <v>1500.0</v>
      </c>
      <c r="G40" s="41">
        <v>1500.0</v>
      </c>
      <c r="H40" s="41">
        <v>1000.0</v>
      </c>
      <c r="I40" s="41">
        <v>1000.0</v>
      </c>
      <c r="J40" s="41">
        <v>1000.0</v>
      </c>
      <c r="K40" s="41">
        <v>500.0</v>
      </c>
      <c r="L40" s="41">
        <v>500.0</v>
      </c>
      <c r="M40" s="41">
        <v>500.0</v>
      </c>
      <c r="N40" s="32">
        <f t="shared" si="13"/>
        <v>16500</v>
      </c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8.0" customHeight="1">
      <c r="A41" s="29" t="s">
        <v>191</v>
      </c>
      <c r="B41" s="41">
        <v>300.0</v>
      </c>
      <c r="C41" s="41">
        <v>300.0</v>
      </c>
      <c r="D41" s="41">
        <v>300.0</v>
      </c>
      <c r="E41" s="41">
        <v>300.0</v>
      </c>
      <c r="F41" s="41">
        <v>300.0</v>
      </c>
      <c r="G41" s="41">
        <v>300.0</v>
      </c>
      <c r="H41" s="41">
        <v>300.0</v>
      </c>
      <c r="I41" s="41">
        <v>300.0</v>
      </c>
      <c r="J41" s="41">
        <v>300.0</v>
      </c>
      <c r="K41" s="41">
        <v>300.0</v>
      </c>
      <c r="L41" s="41">
        <v>300.0</v>
      </c>
      <c r="M41" s="41">
        <v>300.0</v>
      </c>
      <c r="N41" s="32">
        <f t="shared" si="13"/>
        <v>3600</v>
      </c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8.0" customHeight="1">
      <c r="A42" s="36" t="s">
        <v>192</v>
      </c>
      <c r="B42" s="41">
        <v>1500.0</v>
      </c>
      <c r="C42" s="41">
        <v>1500.0</v>
      </c>
      <c r="D42" s="41">
        <v>1500.0</v>
      </c>
      <c r="E42" s="41">
        <v>1500.0</v>
      </c>
      <c r="F42" s="41">
        <v>1500.0</v>
      </c>
      <c r="G42" s="41">
        <v>1500.0</v>
      </c>
      <c r="H42" s="41">
        <v>1500.0</v>
      </c>
      <c r="I42" s="41">
        <v>1500.0</v>
      </c>
      <c r="J42" s="41">
        <v>1500.0</v>
      </c>
      <c r="K42" s="41">
        <v>1500.0</v>
      </c>
      <c r="L42" s="41">
        <v>1500.0</v>
      </c>
      <c r="M42" s="41">
        <v>1500.0</v>
      </c>
      <c r="N42" s="32">
        <f t="shared" si="13"/>
        <v>18000</v>
      </c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8.0" customHeight="1">
      <c r="A43" s="36" t="s">
        <v>193</v>
      </c>
      <c r="B43" s="42">
        <v>1000.0</v>
      </c>
      <c r="C43" s="42">
        <v>1000.0</v>
      </c>
      <c r="D43" s="42">
        <v>1000.0</v>
      </c>
      <c r="E43" s="42">
        <v>1000.0</v>
      </c>
      <c r="F43" s="42">
        <v>1000.0</v>
      </c>
      <c r="G43" s="42">
        <v>1000.0</v>
      </c>
      <c r="H43" s="42">
        <v>1000.0</v>
      </c>
      <c r="I43" s="42">
        <v>1000.0</v>
      </c>
      <c r="J43" s="42">
        <v>1000.0</v>
      </c>
      <c r="K43" s="42">
        <v>1000.0</v>
      </c>
      <c r="L43" s="42">
        <v>1000.0</v>
      </c>
      <c r="M43" s="42">
        <v>1000.0</v>
      </c>
      <c r="N43" s="32">
        <f t="shared" si="13"/>
        <v>12000</v>
      </c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8.0" customHeight="1">
      <c r="A44" s="36" t="s">
        <v>194</v>
      </c>
      <c r="B44" s="41">
        <v>2500.0</v>
      </c>
      <c r="C44" s="41">
        <v>2500.0</v>
      </c>
      <c r="D44" s="41">
        <v>1000.0</v>
      </c>
      <c r="E44" s="41">
        <v>1000.0</v>
      </c>
      <c r="F44" s="41">
        <v>1000.0</v>
      </c>
      <c r="G44" s="41">
        <v>1000.0</v>
      </c>
      <c r="H44" s="41">
        <v>1000.0</v>
      </c>
      <c r="I44" s="41">
        <v>1000.0</v>
      </c>
      <c r="J44" s="41">
        <v>1000.0</v>
      </c>
      <c r="K44" s="41">
        <v>1000.0</v>
      </c>
      <c r="L44" s="41">
        <v>1000.0</v>
      </c>
      <c r="M44" s="41">
        <v>1000.0</v>
      </c>
      <c r="N44" s="32">
        <f t="shared" si="13"/>
        <v>15000</v>
      </c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8.0" customHeight="1">
      <c r="A45" s="36" t="s">
        <v>195</v>
      </c>
      <c r="B45" s="41">
        <v>1500.0</v>
      </c>
      <c r="C45" s="41">
        <v>1500.0</v>
      </c>
      <c r="D45" s="41">
        <v>1500.0</v>
      </c>
      <c r="E45" s="41">
        <v>1500.0</v>
      </c>
      <c r="F45" s="41">
        <v>1500.0</v>
      </c>
      <c r="G45" s="41">
        <v>1500.0</v>
      </c>
      <c r="H45" s="41">
        <v>1500.0</v>
      </c>
      <c r="I45" s="41">
        <v>1500.0</v>
      </c>
      <c r="J45" s="41">
        <v>1500.0</v>
      </c>
      <c r="K45" s="41">
        <v>1500.0</v>
      </c>
      <c r="L45" s="41">
        <v>1500.0</v>
      </c>
      <c r="M45" s="41">
        <v>1500.0</v>
      </c>
      <c r="N45" s="32">
        <f t="shared" si="13"/>
        <v>18000</v>
      </c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8.0" customHeight="1">
      <c r="A46" s="33" t="s">
        <v>142</v>
      </c>
      <c r="B46" s="34">
        <f t="shared" ref="B46:M46" si="15">B34+B39+B40+B41+B42+B43+B44+B45</f>
        <v>57811.66667</v>
      </c>
      <c r="C46" s="34">
        <f t="shared" si="15"/>
        <v>63001.66667</v>
      </c>
      <c r="D46" s="34">
        <f t="shared" si="15"/>
        <v>62401.66667</v>
      </c>
      <c r="E46" s="34">
        <f t="shared" si="15"/>
        <v>66301.66667</v>
      </c>
      <c r="F46" s="34">
        <f t="shared" si="15"/>
        <v>69901.66667</v>
      </c>
      <c r="G46" s="34">
        <f t="shared" si="15"/>
        <v>73001.66667</v>
      </c>
      <c r="H46" s="34">
        <f t="shared" si="15"/>
        <v>75001.66667</v>
      </c>
      <c r="I46" s="34">
        <f t="shared" si="15"/>
        <v>77801.66667</v>
      </c>
      <c r="J46" s="34">
        <f t="shared" si="15"/>
        <v>79801.66667</v>
      </c>
      <c r="K46" s="34">
        <f t="shared" si="15"/>
        <v>81601.66667</v>
      </c>
      <c r="L46" s="34">
        <f t="shared" si="15"/>
        <v>83601.66667</v>
      </c>
      <c r="M46" s="34">
        <f t="shared" si="15"/>
        <v>86096.66667</v>
      </c>
      <c r="N46" s="35">
        <f t="shared" si="13"/>
        <v>876325</v>
      </c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4.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27.75" customHeight="1">
      <c r="A49" s="43" t="s">
        <v>143</v>
      </c>
      <c r="B49" s="62">
        <f t="shared" ref="B49:M49" si="16">B21-B46</f>
        <v>-44361.26667</v>
      </c>
      <c r="C49" s="62">
        <f t="shared" si="16"/>
        <v>-47206.66667</v>
      </c>
      <c r="D49" s="62">
        <f t="shared" si="16"/>
        <v>-43780.26667</v>
      </c>
      <c r="E49" s="62">
        <f t="shared" si="16"/>
        <v>-44222.26667</v>
      </c>
      <c r="F49" s="62">
        <f t="shared" si="16"/>
        <v>-44177.26667</v>
      </c>
      <c r="G49" s="62">
        <f t="shared" si="16"/>
        <v>-43374.66667</v>
      </c>
      <c r="H49" s="62">
        <f t="shared" si="16"/>
        <v>-41088.66667</v>
      </c>
      <c r="I49" s="62">
        <f t="shared" si="16"/>
        <v>-39303.86667</v>
      </c>
      <c r="J49" s="62">
        <f t="shared" si="16"/>
        <v>-36566.46667</v>
      </c>
      <c r="K49" s="62">
        <f t="shared" si="16"/>
        <v>-34052.16667</v>
      </c>
      <c r="L49" s="62">
        <f t="shared" si="16"/>
        <v>-31513.26667</v>
      </c>
      <c r="M49" s="62">
        <f t="shared" si="16"/>
        <v>-30196.66667</v>
      </c>
      <c r="N49" s="63">
        <f>SUM(B49:M49)</f>
        <v>-479843.5</v>
      </c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9.5" customHeight="1">
      <c r="A51" s="28" t="s">
        <v>196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6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8.0" customHeight="1">
      <c r="A52" s="45" t="s">
        <v>197</v>
      </c>
      <c r="B52" s="46">
        <f>'Y1 2027 Bootstrap'!O50+Assumptions!B7</f>
        <v>789473.4</v>
      </c>
      <c r="C52" s="46">
        <f t="shared" ref="C52:M52" si="17">0</f>
        <v>0</v>
      </c>
      <c r="D52" s="46">
        <f t="shared" si="17"/>
        <v>0</v>
      </c>
      <c r="E52" s="46">
        <f t="shared" si="17"/>
        <v>0</v>
      </c>
      <c r="F52" s="46">
        <f t="shared" si="17"/>
        <v>0</v>
      </c>
      <c r="G52" s="46">
        <f t="shared" si="17"/>
        <v>0</v>
      </c>
      <c r="H52" s="46">
        <f t="shared" si="17"/>
        <v>0</v>
      </c>
      <c r="I52" s="46">
        <f t="shared" si="17"/>
        <v>0</v>
      </c>
      <c r="J52" s="46">
        <f t="shared" si="17"/>
        <v>0</v>
      </c>
      <c r="K52" s="46">
        <f t="shared" si="17"/>
        <v>0</v>
      </c>
      <c r="L52" s="46">
        <f t="shared" si="17"/>
        <v>0</v>
      </c>
      <c r="M52" s="46">
        <f t="shared" si="17"/>
        <v>0</v>
      </c>
      <c r="N52" s="47">
        <f>'Y1 2027 Bootstrap'!O50+Assumptions!B7</f>
        <v>789473.4</v>
      </c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21.75" customHeight="1">
      <c r="A53" s="64" t="s">
        <v>198</v>
      </c>
      <c r="B53" s="49">
        <f>B52+B49</f>
        <v>745112.1333</v>
      </c>
      <c r="C53" s="49">
        <f t="shared" ref="C53:M53" si="18">B53+C49</f>
        <v>697905.4667</v>
      </c>
      <c r="D53" s="49">
        <f t="shared" si="18"/>
        <v>654125.2</v>
      </c>
      <c r="E53" s="49">
        <f t="shared" si="18"/>
        <v>609902.9333</v>
      </c>
      <c r="F53" s="49">
        <f t="shared" si="18"/>
        <v>565725.6667</v>
      </c>
      <c r="G53" s="49">
        <f t="shared" si="18"/>
        <v>522351</v>
      </c>
      <c r="H53" s="49">
        <f t="shared" si="18"/>
        <v>481262.3333</v>
      </c>
      <c r="I53" s="49">
        <f t="shared" si="18"/>
        <v>441958.4667</v>
      </c>
      <c r="J53" s="49">
        <f t="shared" si="18"/>
        <v>405392</v>
      </c>
      <c r="K53" s="49">
        <f t="shared" si="18"/>
        <v>371339.8333</v>
      </c>
      <c r="L53" s="49">
        <f t="shared" si="18"/>
        <v>339826.5667</v>
      </c>
      <c r="M53" s="49">
        <f t="shared" si="18"/>
        <v>309629.9</v>
      </c>
      <c r="N53" s="65">
        <f>M53</f>
        <v>309629.9</v>
      </c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21.75" customHeight="1">
      <c r="A55" s="28" t="s">
        <v>147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8.0" customHeight="1">
      <c r="A56" s="29" t="s">
        <v>148</v>
      </c>
      <c r="B56" s="26">
        <v>0.13</v>
      </c>
      <c r="C56" s="26">
        <v>0.13</v>
      </c>
      <c r="D56" s="26">
        <v>0.13</v>
      </c>
      <c r="E56" s="26">
        <v>0.13</v>
      </c>
      <c r="F56" s="26">
        <v>0.13</v>
      </c>
      <c r="G56" s="26">
        <v>0.13</v>
      </c>
      <c r="H56" s="26">
        <v>0.13</v>
      </c>
      <c r="I56" s="26">
        <v>0.13</v>
      </c>
      <c r="J56" s="26">
        <v>0.13</v>
      </c>
      <c r="K56" s="26">
        <v>0.13</v>
      </c>
      <c r="L56" s="26">
        <v>0.13</v>
      </c>
      <c r="M56" s="26">
        <v>0.13</v>
      </c>
      <c r="N56" s="52">
        <v>0.13</v>
      </c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8.0" customHeight="1">
      <c r="A57" s="29" t="s">
        <v>149</v>
      </c>
      <c r="B57" s="25">
        <f t="shared" ref="B57:M57" si="19">IFERROR(B9/B56,0)</f>
        <v>6923.076923</v>
      </c>
      <c r="C57" s="25">
        <f t="shared" si="19"/>
        <v>6923.076923</v>
      </c>
      <c r="D57" s="25">
        <f t="shared" si="19"/>
        <v>9230.769231</v>
      </c>
      <c r="E57" s="25">
        <f t="shared" si="19"/>
        <v>11538.46154</v>
      </c>
      <c r="F57" s="25">
        <f t="shared" si="19"/>
        <v>13076.92308</v>
      </c>
      <c r="G57" s="25">
        <f t="shared" si="19"/>
        <v>14615.38462</v>
      </c>
      <c r="H57" s="25">
        <f t="shared" si="19"/>
        <v>14615.38462</v>
      </c>
      <c r="I57" s="25">
        <f t="shared" si="19"/>
        <v>15384.61538</v>
      </c>
      <c r="J57" s="25">
        <f t="shared" si="19"/>
        <v>15384.61538</v>
      </c>
      <c r="K57" s="25">
        <f t="shared" si="19"/>
        <v>16153.84615</v>
      </c>
      <c r="L57" s="25">
        <f t="shared" si="19"/>
        <v>16153.84615</v>
      </c>
      <c r="M57" s="25">
        <f t="shared" si="19"/>
        <v>17423.07692</v>
      </c>
      <c r="N57" s="53">
        <f>SUM(B57:M57)</f>
        <v>157423.0769</v>
      </c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8.0" customHeight="1">
      <c r="A58" s="29" t="s">
        <v>150</v>
      </c>
      <c r="B58" s="54">
        <f t="shared" ref="B58:N58" si="20">IFERROR(B8/B10,0)</f>
        <v>1.704504505</v>
      </c>
      <c r="C58" s="54">
        <f t="shared" si="20"/>
        <v>1.744186047</v>
      </c>
      <c r="D58" s="54">
        <f t="shared" si="20"/>
        <v>1.720261438</v>
      </c>
      <c r="E58" s="54">
        <f t="shared" si="20"/>
        <v>1.713661202</v>
      </c>
      <c r="F58" s="54">
        <f t="shared" si="20"/>
        <v>1.692165899</v>
      </c>
      <c r="G58" s="54">
        <f t="shared" si="20"/>
        <v>1.662745098</v>
      </c>
      <c r="H58" s="54">
        <f t="shared" si="20"/>
        <v>1.651877133</v>
      </c>
      <c r="I58" s="54">
        <f t="shared" si="20"/>
        <v>1.643243243</v>
      </c>
      <c r="J58" s="54">
        <f t="shared" si="20"/>
        <v>1.645040214</v>
      </c>
      <c r="K58" s="54">
        <f t="shared" si="20"/>
        <v>1.61686747</v>
      </c>
      <c r="L58" s="54">
        <f t="shared" si="20"/>
        <v>1.599124726</v>
      </c>
      <c r="M58" s="54">
        <f t="shared" si="20"/>
        <v>1.552856858</v>
      </c>
      <c r="N58" s="55">
        <f t="shared" si="20"/>
        <v>11.16623532</v>
      </c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8.0" customHeight="1">
      <c r="A59" s="29" t="s">
        <v>151</v>
      </c>
      <c r="B59" s="50">
        <f t="shared" ref="B59:N59" si="21">IFERROR(B37/B57,0)</f>
        <v>1.372222222</v>
      </c>
      <c r="C59" s="50">
        <f t="shared" si="21"/>
        <v>1.372222222</v>
      </c>
      <c r="D59" s="50">
        <f t="shared" si="21"/>
        <v>1.029166667</v>
      </c>
      <c r="E59" s="50">
        <f t="shared" si="21"/>
        <v>1.083333333</v>
      </c>
      <c r="F59" s="50">
        <f t="shared" si="21"/>
        <v>1.185294118</v>
      </c>
      <c r="G59" s="50">
        <f t="shared" si="21"/>
        <v>1.231578947</v>
      </c>
      <c r="H59" s="50">
        <f t="shared" si="21"/>
        <v>1.402631579</v>
      </c>
      <c r="I59" s="50">
        <f t="shared" si="21"/>
        <v>1.495</v>
      </c>
      <c r="J59" s="50">
        <f t="shared" si="21"/>
        <v>1.625</v>
      </c>
      <c r="K59" s="50">
        <f t="shared" si="21"/>
        <v>1.671428571</v>
      </c>
      <c r="L59" s="50">
        <f t="shared" si="21"/>
        <v>1.795238095</v>
      </c>
      <c r="M59" s="50">
        <f t="shared" si="21"/>
        <v>1.779249448</v>
      </c>
      <c r="N59" s="56">
        <f t="shared" si="21"/>
        <v>1.461031029</v>
      </c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8.0" customHeight="1">
      <c r="A60" s="29" t="s">
        <v>152</v>
      </c>
      <c r="B60" s="50">
        <f t="shared" ref="B60:N60" si="22">IFERROR(B39/B9,0)</f>
        <v>15.22222222</v>
      </c>
      <c r="C60" s="50">
        <f t="shared" si="22"/>
        <v>15.77777778</v>
      </c>
      <c r="D60" s="50">
        <f t="shared" si="22"/>
        <v>12.58333333</v>
      </c>
      <c r="E60" s="50">
        <f t="shared" si="22"/>
        <v>12.66666667</v>
      </c>
      <c r="F60" s="50">
        <f t="shared" si="22"/>
        <v>13.58823529</v>
      </c>
      <c r="G60" s="50">
        <f t="shared" si="22"/>
        <v>13.78947368</v>
      </c>
      <c r="H60" s="50">
        <f t="shared" si="22"/>
        <v>15.10526316</v>
      </c>
      <c r="I60" s="50">
        <f t="shared" si="22"/>
        <v>15.75</v>
      </c>
      <c r="J60" s="50">
        <f t="shared" si="22"/>
        <v>16.75</v>
      </c>
      <c r="K60" s="50">
        <f t="shared" si="22"/>
        <v>17.04761905</v>
      </c>
      <c r="L60" s="50">
        <f t="shared" si="22"/>
        <v>18</v>
      </c>
      <c r="M60" s="50">
        <f t="shared" si="22"/>
        <v>17.79028698</v>
      </c>
      <c r="N60" s="56">
        <f t="shared" si="22"/>
        <v>15.58245785</v>
      </c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8.0" customHeight="1">
      <c r="A61" s="36" t="s">
        <v>153</v>
      </c>
      <c r="B61" s="25">
        <f t="shared" ref="B61:M61" si="23">B36/10</f>
        <v>270</v>
      </c>
      <c r="C61" s="25">
        <f t="shared" si="23"/>
        <v>270</v>
      </c>
      <c r="D61" s="25">
        <f t="shared" si="23"/>
        <v>360</v>
      </c>
      <c r="E61" s="25">
        <f t="shared" si="23"/>
        <v>450</v>
      </c>
      <c r="F61" s="25">
        <f t="shared" si="23"/>
        <v>510</v>
      </c>
      <c r="G61" s="25">
        <f t="shared" si="23"/>
        <v>570</v>
      </c>
      <c r="H61" s="25">
        <f t="shared" si="23"/>
        <v>570</v>
      </c>
      <c r="I61" s="25">
        <f t="shared" si="23"/>
        <v>600</v>
      </c>
      <c r="J61" s="25">
        <f t="shared" si="23"/>
        <v>600</v>
      </c>
      <c r="K61" s="25">
        <f t="shared" si="23"/>
        <v>630</v>
      </c>
      <c r="L61" s="25">
        <f t="shared" si="23"/>
        <v>630</v>
      </c>
      <c r="M61" s="25">
        <f t="shared" si="23"/>
        <v>679.5</v>
      </c>
      <c r="N61" s="66">
        <f>SUM(B61:M61)</f>
        <v>6139.5</v>
      </c>
      <c r="O61" s="59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36" t="s">
        <v>154</v>
      </c>
      <c r="B62" s="57">
        <f t="shared" ref="B62:M62" si="24">B61/B9</f>
        <v>0.3</v>
      </c>
      <c r="C62" s="57">
        <f t="shared" si="24"/>
        <v>0.3</v>
      </c>
      <c r="D62" s="57">
        <f t="shared" si="24"/>
        <v>0.3</v>
      </c>
      <c r="E62" s="57">
        <f t="shared" si="24"/>
        <v>0.3</v>
      </c>
      <c r="F62" s="57">
        <f t="shared" si="24"/>
        <v>0.3</v>
      </c>
      <c r="G62" s="57">
        <f t="shared" si="24"/>
        <v>0.3</v>
      </c>
      <c r="H62" s="57">
        <f t="shared" si="24"/>
        <v>0.3</v>
      </c>
      <c r="I62" s="57">
        <f t="shared" si="24"/>
        <v>0.3</v>
      </c>
      <c r="J62" s="57">
        <f t="shared" si="24"/>
        <v>0.3</v>
      </c>
      <c r="K62" s="57">
        <f t="shared" si="24"/>
        <v>0.3</v>
      </c>
      <c r="L62" s="57">
        <f t="shared" si="24"/>
        <v>0.3</v>
      </c>
      <c r="M62" s="57">
        <f t="shared" si="24"/>
        <v>0.3</v>
      </c>
      <c r="N62" s="57"/>
      <c r="O62" s="53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</sheetData>
  <mergeCells count="9">
    <mergeCell ref="A51:N51"/>
    <mergeCell ref="A55:N55"/>
    <mergeCell ref="A1:N1"/>
    <mergeCell ref="A3:N3"/>
    <mergeCell ref="A14:N14"/>
    <mergeCell ref="A19:N19"/>
    <mergeCell ref="A24:N24"/>
    <mergeCell ref="A25:N25"/>
    <mergeCell ref="A35:N3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13" width="11.0"/>
    <col customWidth="1" min="14" max="14" width="14.0"/>
    <col customWidth="1" min="15" max="26" width="8.71"/>
  </cols>
  <sheetData>
    <row r="1" ht="36.0" customHeight="1">
      <c r="A1" s="58" t="s">
        <v>199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24.0" customHeight="1">
      <c r="A2" s="18" t="s">
        <v>89</v>
      </c>
      <c r="B2" s="60" t="s">
        <v>200</v>
      </c>
      <c r="C2" s="60" t="s">
        <v>201</v>
      </c>
      <c r="D2" s="60" t="s">
        <v>202</v>
      </c>
      <c r="E2" s="60" t="s">
        <v>203</v>
      </c>
      <c r="F2" s="60" t="s">
        <v>204</v>
      </c>
      <c r="G2" s="60" t="s">
        <v>205</v>
      </c>
      <c r="H2" s="60" t="s">
        <v>206</v>
      </c>
      <c r="I2" s="60" t="s">
        <v>207</v>
      </c>
      <c r="J2" s="60" t="s">
        <v>208</v>
      </c>
      <c r="K2" s="60" t="s">
        <v>209</v>
      </c>
      <c r="L2" s="60" t="s">
        <v>210</v>
      </c>
      <c r="M2" s="60" t="s">
        <v>211</v>
      </c>
      <c r="N2" s="61" t="s">
        <v>103</v>
      </c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9.5" customHeight="1">
      <c r="A3" s="20" t="s">
        <v>104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8.0" customHeight="1">
      <c r="A4" s="5" t="s">
        <v>105</v>
      </c>
      <c r="B4" s="22">
        <v>700.0</v>
      </c>
      <c r="C4" s="22">
        <v>760.0</v>
      </c>
      <c r="D4" s="22">
        <v>820.0</v>
      </c>
      <c r="E4" s="22">
        <v>890.0</v>
      </c>
      <c r="F4" s="22">
        <v>960.0</v>
      </c>
      <c r="G4" s="22">
        <v>1040.0</v>
      </c>
      <c r="H4" s="22">
        <v>1120.0</v>
      </c>
      <c r="I4" s="22">
        <v>1200.0</v>
      </c>
      <c r="J4" s="22">
        <v>1280.0</v>
      </c>
      <c r="K4" s="22">
        <v>1360.0</v>
      </c>
      <c r="L4" s="22">
        <v>1440.0</v>
      </c>
      <c r="M4" s="22">
        <v>1500.0</v>
      </c>
      <c r="N4" s="23">
        <f>M4</f>
        <v>1500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8.0" customHeight="1">
      <c r="A5" s="24" t="s">
        <v>106</v>
      </c>
      <c r="B5" s="25">
        <f>B4-'Y2 2028 Pre-Seed'!M4</f>
        <v>50</v>
      </c>
      <c r="C5" s="25">
        <f t="shared" ref="C5:M5" si="1">C4-B4</f>
        <v>60</v>
      </c>
      <c r="D5" s="25">
        <f t="shared" si="1"/>
        <v>60</v>
      </c>
      <c r="E5" s="25">
        <f t="shared" si="1"/>
        <v>70</v>
      </c>
      <c r="F5" s="25">
        <f t="shared" si="1"/>
        <v>70</v>
      </c>
      <c r="G5" s="25">
        <f t="shared" si="1"/>
        <v>80</v>
      </c>
      <c r="H5" s="25">
        <f t="shared" si="1"/>
        <v>80</v>
      </c>
      <c r="I5" s="25">
        <f t="shared" si="1"/>
        <v>80</v>
      </c>
      <c r="J5" s="25">
        <f t="shared" si="1"/>
        <v>80</v>
      </c>
      <c r="K5" s="25">
        <f t="shared" si="1"/>
        <v>80</v>
      </c>
      <c r="L5" s="25">
        <f t="shared" si="1"/>
        <v>80</v>
      </c>
      <c r="M5" s="25">
        <f t="shared" si="1"/>
        <v>60</v>
      </c>
      <c r="N5" s="23">
        <f>SUM(B5:M5)</f>
        <v>850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8.0" customHeight="1">
      <c r="A6" s="5" t="s">
        <v>212</v>
      </c>
      <c r="B6" s="25">
        <f>B4/Assumptions!B21</f>
        <v>70</v>
      </c>
      <c r="C6" s="25">
        <f>C4/Assumptions!B21</f>
        <v>76</v>
      </c>
      <c r="D6" s="25">
        <f>D4/Assumptions!B21</f>
        <v>82</v>
      </c>
      <c r="E6" s="25">
        <f>E4/Assumptions!B21</f>
        <v>89</v>
      </c>
      <c r="F6" s="25">
        <f>F4/Assumptions!B21</f>
        <v>96</v>
      </c>
      <c r="G6" s="25">
        <f>G4/Assumptions!B21</f>
        <v>104</v>
      </c>
      <c r="H6" s="25">
        <f>H4/Assumptions!B21</f>
        <v>112</v>
      </c>
      <c r="I6" s="25">
        <f>I4/Assumptions!B21</f>
        <v>120</v>
      </c>
      <c r="J6" s="25">
        <f>J4/Assumptions!B21</f>
        <v>128</v>
      </c>
      <c r="K6" s="25">
        <f>K4/Assumptions!B21</f>
        <v>136</v>
      </c>
      <c r="L6" s="25">
        <f>L4/Assumptions!B21</f>
        <v>144</v>
      </c>
      <c r="M6" s="25">
        <f>M4/Assumptions!B21</f>
        <v>150</v>
      </c>
      <c r="N6" s="23">
        <f>M6</f>
        <v>150</v>
      </c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8.0" customHeight="1">
      <c r="A7" s="5" t="s">
        <v>108</v>
      </c>
      <c r="B7" s="22">
        <v>62.0</v>
      </c>
      <c r="C7" s="22">
        <v>66.0</v>
      </c>
      <c r="D7" s="22">
        <v>70.0</v>
      </c>
      <c r="E7" s="22">
        <v>75.0</v>
      </c>
      <c r="F7" s="22">
        <v>80.0</v>
      </c>
      <c r="G7" s="22">
        <v>85.0</v>
      </c>
      <c r="H7" s="22">
        <v>90.0</v>
      </c>
      <c r="I7" s="22">
        <v>95.0</v>
      </c>
      <c r="J7" s="22">
        <v>100.0</v>
      </c>
      <c r="K7" s="22">
        <v>105.0</v>
      </c>
      <c r="L7" s="22">
        <v>110.0</v>
      </c>
      <c r="M7" s="22">
        <v>115.0</v>
      </c>
      <c r="N7" s="23">
        <f t="shared" ref="N7:N9" si="3">SUM(B7:M7)</f>
        <v>1053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8.0" customHeight="1">
      <c r="A8" s="5" t="s">
        <v>169</v>
      </c>
      <c r="B8" s="25">
        <f t="shared" ref="B8:M8" si="2">B4*B7</f>
        <v>43400</v>
      </c>
      <c r="C8" s="25">
        <f t="shared" si="2"/>
        <v>50160</v>
      </c>
      <c r="D8" s="25">
        <f t="shared" si="2"/>
        <v>57400</v>
      </c>
      <c r="E8" s="25">
        <f t="shared" si="2"/>
        <v>66750</v>
      </c>
      <c r="F8" s="25">
        <f t="shared" si="2"/>
        <v>76800</v>
      </c>
      <c r="G8" s="25">
        <f t="shared" si="2"/>
        <v>88400</v>
      </c>
      <c r="H8" s="25">
        <f t="shared" si="2"/>
        <v>100800</v>
      </c>
      <c r="I8" s="25">
        <f t="shared" si="2"/>
        <v>114000</v>
      </c>
      <c r="J8" s="25">
        <f t="shared" si="2"/>
        <v>128000</v>
      </c>
      <c r="K8" s="25">
        <f t="shared" si="2"/>
        <v>142800</v>
      </c>
      <c r="L8" s="25">
        <f t="shared" si="2"/>
        <v>158400</v>
      </c>
      <c r="M8" s="25">
        <f t="shared" si="2"/>
        <v>172500</v>
      </c>
      <c r="N8" s="23">
        <f t="shared" si="3"/>
        <v>1199410</v>
      </c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8.0" customHeight="1">
      <c r="A9" s="5" t="s">
        <v>170</v>
      </c>
      <c r="B9" s="22">
        <v>5000.0</v>
      </c>
      <c r="C9" s="22">
        <v>7000.0</v>
      </c>
      <c r="D9" s="22">
        <v>9000.0</v>
      </c>
      <c r="E9" s="22">
        <v>11000.0</v>
      </c>
      <c r="F9" s="22">
        <v>12000.0</v>
      </c>
      <c r="G9" s="22">
        <v>13000.0</v>
      </c>
      <c r="H9" s="22">
        <v>13000.0</v>
      </c>
      <c r="I9" s="22">
        <v>13000.0</v>
      </c>
      <c r="J9" s="22">
        <v>13000.0</v>
      </c>
      <c r="K9" s="22">
        <v>13000.0</v>
      </c>
      <c r="L9" s="22">
        <v>13000.0</v>
      </c>
      <c r="M9" s="22">
        <v>12053.0</v>
      </c>
      <c r="N9" s="23">
        <f t="shared" si="3"/>
        <v>134053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8.0" customHeight="1">
      <c r="A10" s="5" t="s">
        <v>213</v>
      </c>
      <c r="B10" s="25">
        <f>'Y2 2028 Pre-Seed'!N10+B9</f>
        <v>30115</v>
      </c>
      <c r="C10" s="25">
        <f t="shared" ref="C10:M10" si="4">B10+C9</f>
        <v>37115</v>
      </c>
      <c r="D10" s="25">
        <f t="shared" si="4"/>
        <v>46115</v>
      </c>
      <c r="E10" s="25">
        <f t="shared" si="4"/>
        <v>57115</v>
      </c>
      <c r="F10" s="25">
        <f t="shared" si="4"/>
        <v>69115</v>
      </c>
      <c r="G10" s="25">
        <f t="shared" si="4"/>
        <v>82115</v>
      </c>
      <c r="H10" s="25">
        <f t="shared" si="4"/>
        <v>95115</v>
      </c>
      <c r="I10" s="25">
        <f t="shared" si="4"/>
        <v>108115</v>
      </c>
      <c r="J10" s="25">
        <f t="shared" si="4"/>
        <v>121115</v>
      </c>
      <c r="K10" s="25">
        <f t="shared" si="4"/>
        <v>134115</v>
      </c>
      <c r="L10" s="25">
        <f t="shared" si="4"/>
        <v>147115</v>
      </c>
      <c r="M10" s="25">
        <f t="shared" si="4"/>
        <v>159168</v>
      </c>
      <c r="N10" s="23">
        <f t="shared" ref="N10:N12" si="5">M10</f>
        <v>159168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8.0" customHeight="1">
      <c r="A11" s="5" t="s">
        <v>112</v>
      </c>
      <c r="B11" s="26">
        <v>0.48</v>
      </c>
      <c r="C11" s="26">
        <v>0.5</v>
      </c>
      <c r="D11" s="26">
        <v>0.52</v>
      </c>
      <c r="E11" s="26">
        <v>0.54</v>
      </c>
      <c r="F11" s="26">
        <v>0.56</v>
      </c>
      <c r="G11" s="26">
        <v>0.58</v>
      </c>
      <c r="H11" s="26">
        <v>0.6</v>
      </c>
      <c r="I11" s="26">
        <v>0.62</v>
      </c>
      <c r="J11" s="26">
        <v>0.64</v>
      </c>
      <c r="K11" s="26">
        <v>0.66</v>
      </c>
      <c r="L11" s="26">
        <v>0.68</v>
      </c>
      <c r="M11" s="26">
        <v>0.7</v>
      </c>
      <c r="N11" s="27">
        <f t="shared" si="5"/>
        <v>0.7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8.0" customHeight="1">
      <c r="A12" s="5" t="s">
        <v>113</v>
      </c>
      <c r="B12" s="26">
        <v>0.27</v>
      </c>
      <c r="C12" s="26">
        <v>0.29</v>
      </c>
      <c r="D12" s="26">
        <v>0.31</v>
      </c>
      <c r="E12" s="26">
        <v>0.33</v>
      </c>
      <c r="F12" s="26">
        <v>0.35</v>
      </c>
      <c r="G12" s="26">
        <v>0.36</v>
      </c>
      <c r="H12" s="26">
        <v>0.37</v>
      </c>
      <c r="I12" s="26">
        <v>0.38</v>
      </c>
      <c r="J12" s="26">
        <v>0.39</v>
      </c>
      <c r="K12" s="26">
        <v>0.4</v>
      </c>
      <c r="L12" s="26">
        <v>0.4</v>
      </c>
      <c r="M12" s="26">
        <v>0.4</v>
      </c>
      <c r="N12" s="27">
        <f t="shared" si="5"/>
        <v>0.4</v>
      </c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9.5" customHeight="1">
      <c r="A14" s="28" t="s">
        <v>114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8.0" customHeight="1">
      <c r="A15" s="36" t="s">
        <v>214</v>
      </c>
      <c r="B15" s="30">
        <f>B8*(1-B12)*Assumptions!B15</f>
        <v>47523</v>
      </c>
      <c r="C15" s="30">
        <f>C8*(1-C12)*Assumptions!B15</f>
        <v>53420.4</v>
      </c>
      <c r="D15" s="30">
        <f>D8*(1-D12)*Assumptions!B15</f>
        <v>59409</v>
      </c>
      <c r="E15" s="30">
        <f>E8*(1-E12)*Assumptions!B15</f>
        <v>67083.75</v>
      </c>
      <c r="F15" s="30">
        <f>F8*(1-F12)*Assumptions!B15</f>
        <v>74880</v>
      </c>
      <c r="G15" s="30">
        <f>G8*(1-G12)*Assumptions!B15</f>
        <v>84864</v>
      </c>
      <c r="H15" s="30">
        <f>H8*(1-H12)*Assumptions!B15</f>
        <v>95256</v>
      </c>
      <c r="I15" s="30">
        <f>I8*(1-I12)*Assumptions!B15</f>
        <v>106020</v>
      </c>
      <c r="J15" s="30">
        <f>J8*(1-J12)*Assumptions!B15</f>
        <v>117120</v>
      </c>
      <c r="K15" s="30">
        <f>K8*(1-K12)*Assumptions!B15</f>
        <v>128520</v>
      </c>
      <c r="L15" s="30">
        <f>L8*(1-L12)*Assumptions!B15</f>
        <v>142560</v>
      </c>
      <c r="M15" s="30">
        <f>M8*(1-M12)*Assumptions!B15</f>
        <v>155250</v>
      </c>
      <c r="N15" s="32">
        <f t="shared" ref="N15:N19" si="6">SUM(B15:M15)</f>
        <v>1131906.15</v>
      </c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8.0" customHeight="1">
      <c r="A16" s="36" t="s">
        <v>215</v>
      </c>
      <c r="B16" s="30">
        <f>B8*B12*Assumptions!B16</f>
        <v>23436</v>
      </c>
      <c r="C16" s="30">
        <f>C8*C12*Assumptions!B16</f>
        <v>29092.8</v>
      </c>
      <c r="D16" s="30">
        <f>D8*D12*Assumptions!B16</f>
        <v>35588</v>
      </c>
      <c r="E16" s="30">
        <f>E8*E12*Assumptions!B16</f>
        <v>44055</v>
      </c>
      <c r="F16" s="30">
        <f>F8*F12*Assumptions!B16</f>
        <v>53760</v>
      </c>
      <c r="G16" s="30">
        <f>G8*G12*Assumptions!B16</f>
        <v>63648</v>
      </c>
      <c r="H16" s="30">
        <f>H8*H12*Assumptions!B16</f>
        <v>74592</v>
      </c>
      <c r="I16" s="30">
        <f>I8*I12*Assumptions!B16</f>
        <v>86640</v>
      </c>
      <c r="J16" s="30">
        <f>J8*J12*Assumptions!B16</f>
        <v>99840</v>
      </c>
      <c r="K16" s="30">
        <f>K8*K12*Assumptions!B16</f>
        <v>114240</v>
      </c>
      <c r="L16" s="30">
        <f>L8*L12*Assumptions!B16</f>
        <v>126720</v>
      </c>
      <c r="M16" s="30">
        <f>M8*M12*Assumptions!B16</f>
        <v>138000</v>
      </c>
      <c r="N16" s="32">
        <f t="shared" si="6"/>
        <v>889611.8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8.0" customHeight="1">
      <c r="A17" s="36" t="s">
        <v>216</v>
      </c>
      <c r="B17" s="30">
        <f>B6*B11*Assumptions!B20</f>
        <v>11760</v>
      </c>
      <c r="C17" s="30">
        <f>C6*C11*Assumptions!B20</f>
        <v>13300</v>
      </c>
      <c r="D17" s="30">
        <f>D6*D11*Assumptions!B20</f>
        <v>14924</v>
      </c>
      <c r="E17" s="30">
        <f>E6*E11*Assumptions!B20</f>
        <v>16821</v>
      </c>
      <c r="F17" s="30">
        <f>F6*F11*Assumptions!B20</f>
        <v>18816</v>
      </c>
      <c r="G17" s="30">
        <f>G6*G11*Assumptions!B20</f>
        <v>21112</v>
      </c>
      <c r="H17" s="30">
        <f>H6*H11*Assumptions!B20</f>
        <v>23520</v>
      </c>
      <c r="I17" s="30">
        <f>I6*I11*Assumptions!B20</f>
        <v>26040</v>
      </c>
      <c r="J17" s="30">
        <f>J6*J11*Assumptions!B20</f>
        <v>28672</v>
      </c>
      <c r="K17" s="30">
        <f>K6*K11*Assumptions!B20</f>
        <v>31416</v>
      </c>
      <c r="L17" s="30">
        <f>L6*L11*Assumptions!B20</f>
        <v>34272</v>
      </c>
      <c r="M17" s="30">
        <f>M6*M11*Assumptions!B20</f>
        <v>36750</v>
      </c>
      <c r="N17" s="32">
        <f t="shared" si="6"/>
        <v>277403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8.0" customHeight="1">
      <c r="A18" s="36" t="s">
        <v>217</v>
      </c>
      <c r="B18" s="41">
        <v>0.0</v>
      </c>
      <c r="C18" s="41">
        <v>0.0</v>
      </c>
      <c r="D18" s="41">
        <v>1000.0</v>
      </c>
      <c r="E18" s="41">
        <v>1500.0</v>
      </c>
      <c r="F18" s="41">
        <v>2000.0</v>
      </c>
      <c r="G18" s="41">
        <v>2000.0</v>
      </c>
      <c r="H18" s="41">
        <v>2500.0</v>
      </c>
      <c r="I18" s="41">
        <v>2500.0</v>
      </c>
      <c r="J18" s="41">
        <v>3000.0</v>
      </c>
      <c r="K18" s="41">
        <v>3000.0</v>
      </c>
      <c r="L18" s="41">
        <v>3000.0</v>
      </c>
      <c r="M18" s="41">
        <v>3500.0</v>
      </c>
      <c r="N18" s="32">
        <f t="shared" si="6"/>
        <v>24000</v>
      </c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8.0" customHeight="1">
      <c r="A19" s="33" t="s">
        <v>117</v>
      </c>
      <c r="B19" s="34">
        <f t="shared" ref="B19:M19" si="7">B15+B16+B17+B18</f>
        <v>82719</v>
      </c>
      <c r="C19" s="34">
        <f t="shared" si="7"/>
        <v>95813.2</v>
      </c>
      <c r="D19" s="34">
        <f t="shared" si="7"/>
        <v>110921</v>
      </c>
      <c r="E19" s="34">
        <f t="shared" si="7"/>
        <v>129459.75</v>
      </c>
      <c r="F19" s="34">
        <f t="shared" si="7"/>
        <v>149456</v>
      </c>
      <c r="G19" s="34">
        <f t="shared" si="7"/>
        <v>171624</v>
      </c>
      <c r="H19" s="34">
        <f t="shared" si="7"/>
        <v>195868</v>
      </c>
      <c r="I19" s="34">
        <f t="shared" si="7"/>
        <v>221200</v>
      </c>
      <c r="J19" s="34">
        <f t="shared" si="7"/>
        <v>248632</v>
      </c>
      <c r="K19" s="34">
        <f t="shared" si="7"/>
        <v>277176</v>
      </c>
      <c r="L19" s="34">
        <f t="shared" si="7"/>
        <v>306552</v>
      </c>
      <c r="M19" s="34">
        <f t="shared" si="7"/>
        <v>333500</v>
      </c>
      <c r="N19" s="35">
        <f t="shared" si="6"/>
        <v>2322920.95</v>
      </c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9.5" customHeight="1">
      <c r="A20" s="20" t="s">
        <v>218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8.0" customHeight="1">
      <c r="A21" s="36" t="s">
        <v>175</v>
      </c>
      <c r="B21" s="30">
        <f>B8*Assumptions!B17</f>
        <v>19964</v>
      </c>
      <c r="C21" s="30">
        <f>C8*Assumptions!B17</f>
        <v>23073.6</v>
      </c>
      <c r="D21" s="30">
        <f>D8*Assumptions!B17</f>
        <v>26404</v>
      </c>
      <c r="E21" s="30">
        <f>E8*Assumptions!B17</f>
        <v>30705</v>
      </c>
      <c r="F21" s="30">
        <f>F8*Assumptions!B17</f>
        <v>35328</v>
      </c>
      <c r="G21" s="30">
        <f>G8*Assumptions!B17</f>
        <v>40664</v>
      </c>
      <c r="H21" s="30">
        <f>H8*Assumptions!B17</f>
        <v>46368</v>
      </c>
      <c r="I21" s="30">
        <f>I8*Assumptions!B17</f>
        <v>52440</v>
      </c>
      <c r="J21" s="30">
        <f>J8*Assumptions!B17</f>
        <v>58880</v>
      </c>
      <c r="K21" s="30">
        <f>K8*Assumptions!B17</f>
        <v>65688</v>
      </c>
      <c r="L21" s="30">
        <f>L8*Assumptions!B17</f>
        <v>72864</v>
      </c>
      <c r="M21" s="30">
        <f>M8*Assumptions!B17</f>
        <v>79350</v>
      </c>
      <c r="N21" s="32">
        <f t="shared" ref="N21:N22" si="9">SUM(B21:M21)</f>
        <v>551728.6</v>
      </c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8.0" customHeight="1">
      <c r="A22" s="33" t="s">
        <v>176</v>
      </c>
      <c r="B22" s="34">
        <f t="shared" ref="B22:M22" si="8">B19-B21</f>
        <v>62755</v>
      </c>
      <c r="C22" s="34">
        <f t="shared" si="8"/>
        <v>72739.6</v>
      </c>
      <c r="D22" s="34">
        <f t="shared" si="8"/>
        <v>84517</v>
      </c>
      <c r="E22" s="34">
        <f t="shared" si="8"/>
        <v>98754.75</v>
      </c>
      <c r="F22" s="34">
        <f t="shared" si="8"/>
        <v>114128</v>
      </c>
      <c r="G22" s="34">
        <f t="shared" si="8"/>
        <v>130960</v>
      </c>
      <c r="H22" s="34">
        <f t="shared" si="8"/>
        <v>149500</v>
      </c>
      <c r="I22" s="34">
        <f t="shared" si="8"/>
        <v>168760</v>
      </c>
      <c r="J22" s="34">
        <f t="shared" si="8"/>
        <v>189752</v>
      </c>
      <c r="K22" s="34">
        <f t="shared" si="8"/>
        <v>211488</v>
      </c>
      <c r="L22" s="34">
        <f t="shared" si="8"/>
        <v>233688</v>
      </c>
      <c r="M22" s="34">
        <f t="shared" si="8"/>
        <v>254150</v>
      </c>
      <c r="N22" s="35">
        <f t="shared" si="9"/>
        <v>1771192.35</v>
      </c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8.0" customHeight="1">
      <c r="A23" s="37" t="s">
        <v>177</v>
      </c>
      <c r="B23" s="38">
        <f t="shared" ref="B23:N23" si="10">IFERROR(B22/B19,0)</f>
        <v>0.7586527884</v>
      </c>
      <c r="C23" s="38">
        <f t="shared" si="10"/>
        <v>0.7591814072</v>
      </c>
      <c r="D23" s="38">
        <f t="shared" si="10"/>
        <v>0.7619567079</v>
      </c>
      <c r="E23" s="38">
        <f t="shared" si="10"/>
        <v>0.7628220354</v>
      </c>
      <c r="F23" s="38">
        <f t="shared" si="10"/>
        <v>0.7636227385</v>
      </c>
      <c r="G23" s="38">
        <f t="shared" si="10"/>
        <v>0.763063441</v>
      </c>
      <c r="H23" s="38">
        <f t="shared" si="10"/>
        <v>0.7632691404</v>
      </c>
      <c r="I23" s="38">
        <f t="shared" si="10"/>
        <v>0.7629294756</v>
      </c>
      <c r="J23" s="38">
        <f t="shared" si="10"/>
        <v>0.7631841436</v>
      </c>
      <c r="K23" s="38">
        <f t="shared" si="10"/>
        <v>0.7630097844</v>
      </c>
      <c r="L23" s="38">
        <f t="shared" si="10"/>
        <v>0.762311125</v>
      </c>
      <c r="M23" s="38">
        <f t="shared" si="10"/>
        <v>0.7620689655</v>
      </c>
      <c r="N23" s="27">
        <f t="shared" si="10"/>
        <v>0.7624849868</v>
      </c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5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9.5" customHeight="1">
      <c r="A25" s="39" t="s">
        <v>178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9.5" customHeight="1">
      <c r="A26" s="20" t="s">
        <v>219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8.0" customHeight="1">
      <c r="A27" s="37" t="s">
        <v>220</v>
      </c>
      <c r="B27" s="31">
        <v>65000.0</v>
      </c>
      <c r="C27" s="31">
        <v>65000.0</v>
      </c>
      <c r="D27" s="31">
        <v>65000.0</v>
      </c>
      <c r="E27" s="31">
        <v>65000.0</v>
      </c>
      <c r="F27" s="31">
        <v>65000.0</v>
      </c>
      <c r="G27" s="31">
        <v>65000.0</v>
      </c>
      <c r="H27" s="31">
        <v>65000.0</v>
      </c>
      <c r="I27" s="31">
        <v>65000.0</v>
      </c>
      <c r="J27" s="31">
        <v>65000.0</v>
      </c>
      <c r="K27" s="31">
        <v>65000.0</v>
      </c>
      <c r="L27" s="31">
        <v>65000.0</v>
      </c>
      <c r="M27" s="31">
        <v>65000.0</v>
      </c>
      <c r="N27" s="32">
        <f t="shared" ref="N27:N28" si="12">SUM(B27:M27)</f>
        <v>780000</v>
      </c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8.0" customHeight="1">
      <c r="A28" s="33" t="s">
        <v>130</v>
      </c>
      <c r="B28" s="34">
        <f t="shared" ref="B28:M28" si="11">B27</f>
        <v>65000</v>
      </c>
      <c r="C28" s="34">
        <f t="shared" si="11"/>
        <v>65000</v>
      </c>
      <c r="D28" s="34">
        <f t="shared" si="11"/>
        <v>65000</v>
      </c>
      <c r="E28" s="34">
        <f t="shared" si="11"/>
        <v>65000</v>
      </c>
      <c r="F28" s="34">
        <f t="shared" si="11"/>
        <v>65000</v>
      </c>
      <c r="G28" s="34">
        <f t="shared" si="11"/>
        <v>65000</v>
      </c>
      <c r="H28" s="34">
        <f t="shared" si="11"/>
        <v>65000</v>
      </c>
      <c r="I28" s="34">
        <f t="shared" si="11"/>
        <v>65000</v>
      </c>
      <c r="J28" s="34">
        <f t="shared" si="11"/>
        <v>65000</v>
      </c>
      <c r="K28" s="34">
        <f t="shared" si="11"/>
        <v>65000</v>
      </c>
      <c r="L28" s="34">
        <f t="shared" si="11"/>
        <v>65000</v>
      </c>
      <c r="M28" s="34">
        <f t="shared" si="11"/>
        <v>65000</v>
      </c>
      <c r="N28" s="35">
        <f t="shared" si="12"/>
        <v>780000</v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9.5" customHeight="1">
      <c r="A29" s="20" t="s">
        <v>131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8.0" customHeight="1">
      <c r="A30" s="29" t="s">
        <v>133</v>
      </c>
      <c r="B30" s="30">
        <f>B9*Assumptions!B28*Assumptions!B26</f>
        <v>15000</v>
      </c>
      <c r="C30" s="30">
        <f>C9*Assumptions!B28*Assumptions!B26</f>
        <v>21000</v>
      </c>
      <c r="D30" s="30">
        <f>D9*Assumptions!B28*Assumptions!B26</f>
        <v>27000</v>
      </c>
      <c r="E30" s="30">
        <f>E9*Assumptions!B28*Assumptions!B26</f>
        <v>33000</v>
      </c>
      <c r="F30" s="30">
        <f>F9*Assumptions!B28*Assumptions!B26</f>
        <v>36000</v>
      </c>
      <c r="G30" s="30">
        <f>G9*Assumptions!B28*Assumptions!B26</f>
        <v>39000</v>
      </c>
      <c r="H30" s="30">
        <f>H9*Assumptions!B28*Assumptions!B26</f>
        <v>39000</v>
      </c>
      <c r="I30" s="30">
        <f>I9*Assumptions!B28*Assumptions!B26</f>
        <v>39000</v>
      </c>
      <c r="J30" s="30">
        <f>J9*Assumptions!B28*Assumptions!B26</f>
        <v>39000</v>
      </c>
      <c r="K30" s="30">
        <f>K9*Assumptions!B28*Assumptions!B26</f>
        <v>39000</v>
      </c>
      <c r="L30" s="30">
        <f>L9*Assumptions!B28*Assumptions!B26</f>
        <v>39000</v>
      </c>
      <c r="M30" s="30">
        <f>M9*Assumptions!B28*Assumptions!B26</f>
        <v>36159</v>
      </c>
      <c r="N30" s="32">
        <f t="shared" ref="N30:N41" si="13">SUM(B30:M30)</f>
        <v>402159</v>
      </c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8.0" customHeight="1">
      <c r="A31" s="36" t="s">
        <v>188</v>
      </c>
      <c r="B31" s="42">
        <v>60000.0</v>
      </c>
      <c r="C31" s="42">
        <f>B31*1.2</f>
        <v>72000</v>
      </c>
      <c r="D31" s="42">
        <v>86000.0</v>
      </c>
      <c r="E31" s="42">
        <v>100000.0</v>
      </c>
      <c r="F31" s="42">
        <f>E31*1.2</f>
        <v>120000</v>
      </c>
      <c r="G31" s="42">
        <v>145000.0</v>
      </c>
      <c r="H31" s="42">
        <v>175000.0</v>
      </c>
      <c r="I31" s="42">
        <v>210000.0</v>
      </c>
      <c r="J31" s="42">
        <v>210000.0</v>
      </c>
      <c r="K31" s="42">
        <v>210000.0</v>
      </c>
      <c r="L31" s="42">
        <v>210000.0</v>
      </c>
      <c r="M31" s="42">
        <v>210000.0</v>
      </c>
      <c r="N31" s="32">
        <f t="shared" si="13"/>
        <v>1808000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8.0" customHeight="1">
      <c r="A32" s="36" t="s">
        <v>189</v>
      </c>
      <c r="B32" s="41">
        <v>8000.0</v>
      </c>
      <c r="C32" s="41">
        <v>8000.0</v>
      </c>
      <c r="D32" s="41">
        <v>8000.0</v>
      </c>
      <c r="E32" s="41">
        <v>8000.0</v>
      </c>
      <c r="F32" s="41">
        <v>8000.0</v>
      </c>
      <c r="G32" s="41">
        <v>8000.0</v>
      </c>
      <c r="H32" s="41">
        <v>8000.0</v>
      </c>
      <c r="I32" s="41">
        <v>8000.0</v>
      </c>
      <c r="J32" s="41">
        <v>8000.0</v>
      </c>
      <c r="K32" s="41">
        <v>8000.0</v>
      </c>
      <c r="L32" s="41">
        <v>8000.0</v>
      </c>
      <c r="M32" s="41">
        <v>8000.0</v>
      </c>
      <c r="N32" s="32">
        <f t="shared" si="13"/>
        <v>96000</v>
      </c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8.0" customHeight="1">
      <c r="A33" s="36" t="s">
        <v>221</v>
      </c>
      <c r="B33" s="41">
        <v>5000.0</v>
      </c>
      <c r="C33" s="41">
        <v>5000.0</v>
      </c>
      <c r="D33" s="41">
        <v>5000.0</v>
      </c>
      <c r="E33" s="41">
        <v>5000.0</v>
      </c>
      <c r="F33" s="41">
        <v>8000.0</v>
      </c>
      <c r="G33" s="41">
        <v>8000.0</v>
      </c>
      <c r="H33" s="41">
        <v>8000.0</v>
      </c>
      <c r="I33" s="41">
        <v>8000.0</v>
      </c>
      <c r="J33" s="41">
        <v>10000.0</v>
      </c>
      <c r="K33" s="41">
        <v>10000.0</v>
      </c>
      <c r="L33" s="41">
        <v>10000.0</v>
      </c>
      <c r="M33" s="41">
        <v>10000.0</v>
      </c>
      <c r="N33" s="32">
        <f t="shared" si="13"/>
        <v>92000</v>
      </c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8.0" customHeight="1">
      <c r="A34" s="33" t="s">
        <v>137</v>
      </c>
      <c r="B34" s="34">
        <f t="shared" ref="B34:M34" si="14">SUM(B30:B33)</f>
        <v>88000</v>
      </c>
      <c r="C34" s="34">
        <f t="shared" si="14"/>
        <v>106000</v>
      </c>
      <c r="D34" s="34">
        <f t="shared" si="14"/>
        <v>126000</v>
      </c>
      <c r="E34" s="34">
        <f t="shared" si="14"/>
        <v>146000</v>
      </c>
      <c r="F34" s="34">
        <f t="shared" si="14"/>
        <v>172000</v>
      </c>
      <c r="G34" s="34">
        <f t="shared" si="14"/>
        <v>200000</v>
      </c>
      <c r="H34" s="34">
        <f t="shared" si="14"/>
        <v>230000</v>
      </c>
      <c r="I34" s="34">
        <f t="shared" si="14"/>
        <v>265000</v>
      </c>
      <c r="J34" s="34">
        <f t="shared" si="14"/>
        <v>267000</v>
      </c>
      <c r="K34" s="34">
        <f t="shared" si="14"/>
        <v>267000</v>
      </c>
      <c r="L34" s="34">
        <f t="shared" si="14"/>
        <v>267000</v>
      </c>
      <c r="M34" s="34">
        <f t="shared" si="14"/>
        <v>264159</v>
      </c>
      <c r="N34" s="35">
        <f t="shared" si="13"/>
        <v>2398159</v>
      </c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8.0" customHeight="1">
      <c r="A35" s="36" t="s">
        <v>190</v>
      </c>
      <c r="B35" s="41">
        <v>5000.0</v>
      </c>
      <c r="C35" s="41">
        <v>5000.0</v>
      </c>
      <c r="D35" s="41">
        <v>5000.0</v>
      </c>
      <c r="E35" s="41">
        <v>5000.0</v>
      </c>
      <c r="F35" s="41">
        <v>5000.0</v>
      </c>
      <c r="G35" s="41">
        <v>5000.0</v>
      </c>
      <c r="H35" s="41">
        <v>5000.0</v>
      </c>
      <c r="I35" s="41">
        <v>5000.0</v>
      </c>
      <c r="J35" s="41">
        <v>5000.0</v>
      </c>
      <c r="K35" s="41">
        <v>5000.0</v>
      </c>
      <c r="L35" s="41">
        <v>5000.0</v>
      </c>
      <c r="M35" s="41">
        <v>5000.0</v>
      </c>
      <c r="N35" s="32">
        <f t="shared" si="13"/>
        <v>60000</v>
      </c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8.0" customHeight="1">
      <c r="A36" s="36" t="s">
        <v>222</v>
      </c>
      <c r="B36" s="41">
        <v>500.0</v>
      </c>
      <c r="C36" s="41">
        <v>500.0</v>
      </c>
      <c r="D36" s="41">
        <v>500.0</v>
      </c>
      <c r="E36" s="41">
        <v>500.0</v>
      </c>
      <c r="F36" s="41">
        <v>500.0</v>
      </c>
      <c r="G36" s="41">
        <v>500.0</v>
      </c>
      <c r="H36" s="41">
        <v>500.0</v>
      </c>
      <c r="I36" s="41">
        <v>500.0</v>
      </c>
      <c r="J36" s="41">
        <v>500.0</v>
      </c>
      <c r="K36" s="41">
        <v>500.0</v>
      </c>
      <c r="L36" s="41">
        <v>500.0</v>
      </c>
      <c r="M36" s="41">
        <v>500.0</v>
      </c>
      <c r="N36" s="32">
        <f t="shared" si="13"/>
        <v>6000</v>
      </c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8.0" customHeight="1">
      <c r="A37" s="36" t="s">
        <v>192</v>
      </c>
      <c r="B37" s="41">
        <v>3000.0</v>
      </c>
      <c r="C37" s="41">
        <v>3000.0</v>
      </c>
      <c r="D37" s="41">
        <v>3000.0</v>
      </c>
      <c r="E37" s="41">
        <v>3000.0</v>
      </c>
      <c r="F37" s="41">
        <v>3000.0</v>
      </c>
      <c r="G37" s="41">
        <v>3000.0</v>
      </c>
      <c r="H37" s="41">
        <v>3000.0</v>
      </c>
      <c r="I37" s="41">
        <v>3000.0</v>
      </c>
      <c r="J37" s="41">
        <v>3000.0</v>
      </c>
      <c r="K37" s="41">
        <v>3000.0</v>
      </c>
      <c r="L37" s="41">
        <v>3000.0</v>
      </c>
      <c r="M37" s="41">
        <v>3000.0</v>
      </c>
      <c r="N37" s="32">
        <f t="shared" si="13"/>
        <v>36000</v>
      </c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8.0" customHeight="1">
      <c r="A38" s="36" t="s">
        <v>223</v>
      </c>
      <c r="B38" s="41">
        <v>4000.0</v>
      </c>
      <c r="C38" s="41">
        <v>4000.0</v>
      </c>
      <c r="D38" s="41">
        <v>4000.0</v>
      </c>
      <c r="E38" s="41">
        <v>4000.0</v>
      </c>
      <c r="F38" s="41">
        <v>4000.0</v>
      </c>
      <c r="G38" s="41">
        <v>4000.0</v>
      </c>
      <c r="H38" s="41">
        <v>4000.0</v>
      </c>
      <c r="I38" s="41">
        <v>4000.0</v>
      </c>
      <c r="J38" s="41">
        <v>4000.0</v>
      </c>
      <c r="K38" s="41">
        <v>4000.0</v>
      </c>
      <c r="L38" s="41">
        <v>4000.0</v>
      </c>
      <c r="M38" s="41">
        <v>4000.0</v>
      </c>
      <c r="N38" s="32">
        <f t="shared" si="13"/>
        <v>48000</v>
      </c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8.0" customHeight="1">
      <c r="A39" s="36" t="s">
        <v>194</v>
      </c>
      <c r="B39" s="41">
        <v>2500.0</v>
      </c>
      <c r="C39" s="41">
        <v>2500.0</v>
      </c>
      <c r="D39" s="41">
        <v>2500.0</v>
      </c>
      <c r="E39" s="41">
        <v>2500.0</v>
      </c>
      <c r="F39" s="41">
        <v>2500.0</v>
      </c>
      <c r="G39" s="41">
        <v>2500.0</v>
      </c>
      <c r="H39" s="41">
        <v>2500.0</v>
      </c>
      <c r="I39" s="41">
        <v>2500.0</v>
      </c>
      <c r="J39" s="41">
        <v>2500.0</v>
      </c>
      <c r="K39" s="41">
        <v>2500.0</v>
      </c>
      <c r="L39" s="41">
        <v>2500.0</v>
      </c>
      <c r="M39" s="41">
        <v>2500.0</v>
      </c>
      <c r="N39" s="32">
        <f t="shared" si="13"/>
        <v>30000</v>
      </c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8.0" customHeight="1">
      <c r="A40" s="36" t="s">
        <v>195</v>
      </c>
      <c r="B40" s="41">
        <v>3000.0</v>
      </c>
      <c r="C40" s="41">
        <v>3000.0</v>
      </c>
      <c r="D40" s="41">
        <v>3000.0</v>
      </c>
      <c r="E40" s="41">
        <v>3000.0</v>
      </c>
      <c r="F40" s="41">
        <v>3000.0</v>
      </c>
      <c r="G40" s="41">
        <v>3000.0</v>
      </c>
      <c r="H40" s="41">
        <v>3000.0</v>
      </c>
      <c r="I40" s="41">
        <v>3000.0</v>
      </c>
      <c r="J40" s="41">
        <v>3000.0</v>
      </c>
      <c r="K40" s="41">
        <v>3000.0</v>
      </c>
      <c r="L40" s="41">
        <v>3000.0</v>
      </c>
      <c r="M40" s="41">
        <v>3000.0</v>
      </c>
      <c r="N40" s="32">
        <f t="shared" si="13"/>
        <v>36000</v>
      </c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8.0" customHeight="1">
      <c r="A41" s="33" t="s">
        <v>142</v>
      </c>
      <c r="B41" s="34">
        <f t="shared" ref="B41:M41" si="15">B28+B34+B35+B36+B37+B38+B39+B40</f>
        <v>171000</v>
      </c>
      <c r="C41" s="34">
        <f t="shared" si="15"/>
        <v>189000</v>
      </c>
      <c r="D41" s="34">
        <f t="shared" si="15"/>
        <v>209000</v>
      </c>
      <c r="E41" s="34">
        <f t="shared" si="15"/>
        <v>229000</v>
      </c>
      <c r="F41" s="34">
        <f t="shared" si="15"/>
        <v>255000</v>
      </c>
      <c r="G41" s="34">
        <f t="shared" si="15"/>
        <v>283000</v>
      </c>
      <c r="H41" s="34">
        <f t="shared" si="15"/>
        <v>313000</v>
      </c>
      <c r="I41" s="34">
        <f t="shared" si="15"/>
        <v>348000</v>
      </c>
      <c r="J41" s="34">
        <f t="shared" si="15"/>
        <v>350000</v>
      </c>
      <c r="K41" s="34">
        <f t="shared" si="15"/>
        <v>350000</v>
      </c>
      <c r="L41" s="34">
        <f t="shared" si="15"/>
        <v>350000</v>
      </c>
      <c r="M41" s="34">
        <f t="shared" si="15"/>
        <v>347159</v>
      </c>
      <c r="N41" s="35">
        <f t="shared" si="13"/>
        <v>3394159</v>
      </c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4.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27.75" customHeight="1">
      <c r="A44" s="43" t="s">
        <v>143</v>
      </c>
      <c r="B44" s="62">
        <f t="shared" ref="B44:M44" si="16">B22-B41</f>
        <v>-108245</v>
      </c>
      <c r="C44" s="62">
        <f t="shared" si="16"/>
        <v>-116260.4</v>
      </c>
      <c r="D44" s="62">
        <f t="shared" si="16"/>
        <v>-124483</v>
      </c>
      <c r="E44" s="62">
        <f t="shared" si="16"/>
        <v>-130245.25</v>
      </c>
      <c r="F44" s="62">
        <f t="shared" si="16"/>
        <v>-140872</v>
      </c>
      <c r="G44" s="62">
        <f t="shared" si="16"/>
        <v>-152040</v>
      </c>
      <c r="H44" s="62">
        <f t="shared" si="16"/>
        <v>-163500</v>
      </c>
      <c r="I44" s="62">
        <f t="shared" si="16"/>
        <v>-179240</v>
      </c>
      <c r="J44" s="62">
        <f t="shared" si="16"/>
        <v>-160248</v>
      </c>
      <c r="K44" s="62">
        <f t="shared" si="16"/>
        <v>-138512</v>
      </c>
      <c r="L44" s="62">
        <f t="shared" si="16"/>
        <v>-116312</v>
      </c>
      <c r="M44" s="62">
        <f t="shared" si="16"/>
        <v>-93009</v>
      </c>
      <c r="N44" s="63">
        <f>SUM(B44:M44)</f>
        <v>-1622966.65</v>
      </c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9.5" customHeight="1">
      <c r="A46" s="28" t="s">
        <v>144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8.0" customHeight="1">
      <c r="A47" s="67" t="s">
        <v>224</v>
      </c>
      <c r="B47" s="46">
        <f>'Y2 2028 Pre-Seed'!N53+Assumptions!B8</f>
        <v>2809629.9</v>
      </c>
      <c r="C47" s="46">
        <f t="shared" ref="C47:M47" si="17">0</f>
        <v>0</v>
      </c>
      <c r="D47" s="46">
        <f t="shared" si="17"/>
        <v>0</v>
      </c>
      <c r="E47" s="46">
        <f t="shared" si="17"/>
        <v>0</v>
      </c>
      <c r="F47" s="46">
        <f t="shared" si="17"/>
        <v>0</v>
      </c>
      <c r="G47" s="46">
        <f t="shared" si="17"/>
        <v>0</v>
      </c>
      <c r="H47" s="46">
        <f t="shared" si="17"/>
        <v>0</v>
      </c>
      <c r="I47" s="46">
        <f t="shared" si="17"/>
        <v>0</v>
      </c>
      <c r="J47" s="46">
        <f t="shared" si="17"/>
        <v>0</v>
      </c>
      <c r="K47" s="46">
        <f t="shared" si="17"/>
        <v>0</v>
      </c>
      <c r="L47" s="46">
        <f t="shared" si="17"/>
        <v>0</v>
      </c>
      <c r="M47" s="46">
        <f t="shared" si="17"/>
        <v>0</v>
      </c>
      <c r="N47" s="47">
        <f>'Y2 2028 Pre-Seed'!N53+Assumptions!B8</f>
        <v>2809629.9</v>
      </c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21.75" customHeight="1">
      <c r="A48" s="64" t="s">
        <v>198</v>
      </c>
      <c r="B48" s="49">
        <f>B47+B44</f>
        <v>2701384.9</v>
      </c>
      <c r="C48" s="49">
        <f t="shared" ref="C48:M48" si="18">B48+C44</f>
        <v>2585124.5</v>
      </c>
      <c r="D48" s="49">
        <f t="shared" si="18"/>
        <v>2460641.5</v>
      </c>
      <c r="E48" s="49">
        <f t="shared" si="18"/>
        <v>2330396.25</v>
      </c>
      <c r="F48" s="49">
        <f t="shared" si="18"/>
        <v>2189524.25</v>
      </c>
      <c r="G48" s="49">
        <f t="shared" si="18"/>
        <v>2037484.25</v>
      </c>
      <c r="H48" s="49">
        <f t="shared" si="18"/>
        <v>1873984.25</v>
      </c>
      <c r="I48" s="49">
        <f t="shared" si="18"/>
        <v>1694744.25</v>
      </c>
      <c r="J48" s="49">
        <f t="shared" si="18"/>
        <v>1534496.25</v>
      </c>
      <c r="K48" s="49">
        <f t="shared" si="18"/>
        <v>1395984.25</v>
      </c>
      <c r="L48" s="49">
        <f t="shared" si="18"/>
        <v>1279672.25</v>
      </c>
      <c r="M48" s="49">
        <f t="shared" si="18"/>
        <v>1186663.25</v>
      </c>
      <c r="N48" s="65">
        <f>M48</f>
        <v>1186663.25</v>
      </c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9.5" customHeight="1">
      <c r="A50" s="28" t="s">
        <v>147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6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8.0" customHeight="1">
      <c r="A51" s="29" t="s">
        <v>148</v>
      </c>
      <c r="B51" s="26">
        <v>0.13</v>
      </c>
      <c r="C51" s="26">
        <v>0.13</v>
      </c>
      <c r="D51" s="26">
        <v>0.13</v>
      </c>
      <c r="E51" s="26">
        <v>0.13</v>
      </c>
      <c r="F51" s="26">
        <v>0.13</v>
      </c>
      <c r="G51" s="26">
        <v>0.13</v>
      </c>
      <c r="H51" s="26">
        <v>0.13</v>
      </c>
      <c r="I51" s="26">
        <v>0.13</v>
      </c>
      <c r="J51" s="26">
        <v>0.13</v>
      </c>
      <c r="K51" s="26">
        <v>0.13</v>
      </c>
      <c r="L51" s="26">
        <v>0.13</v>
      </c>
      <c r="M51" s="26">
        <v>0.13</v>
      </c>
      <c r="N51" s="52">
        <v>0.13</v>
      </c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8.0" customHeight="1">
      <c r="A52" s="29" t="s">
        <v>149</v>
      </c>
      <c r="B52" s="25">
        <f t="shared" ref="B52:M52" si="19">IFERROR(B9/B51,0)</f>
        <v>38461.53846</v>
      </c>
      <c r="C52" s="25">
        <f t="shared" si="19"/>
        <v>53846.15385</v>
      </c>
      <c r="D52" s="25">
        <f t="shared" si="19"/>
        <v>69230.76923</v>
      </c>
      <c r="E52" s="25">
        <f t="shared" si="19"/>
        <v>84615.38462</v>
      </c>
      <c r="F52" s="25">
        <f t="shared" si="19"/>
        <v>92307.69231</v>
      </c>
      <c r="G52" s="25">
        <f t="shared" si="19"/>
        <v>100000</v>
      </c>
      <c r="H52" s="25">
        <f t="shared" si="19"/>
        <v>100000</v>
      </c>
      <c r="I52" s="25">
        <f t="shared" si="19"/>
        <v>100000</v>
      </c>
      <c r="J52" s="25">
        <f t="shared" si="19"/>
        <v>100000</v>
      </c>
      <c r="K52" s="25">
        <f t="shared" si="19"/>
        <v>100000</v>
      </c>
      <c r="L52" s="25">
        <f t="shared" si="19"/>
        <v>100000</v>
      </c>
      <c r="M52" s="25">
        <f t="shared" si="19"/>
        <v>92715.38462</v>
      </c>
      <c r="N52" s="53">
        <f>SUM(B52:M52)</f>
        <v>1031176.923</v>
      </c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8.0" customHeight="1">
      <c r="A53" s="29" t="s">
        <v>150</v>
      </c>
      <c r="B53" s="54">
        <f t="shared" ref="B53:N53" si="20">IFERROR(B8/B10,0)</f>
        <v>1.441142288</v>
      </c>
      <c r="C53" s="54">
        <f t="shared" si="20"/>
        <v>1.351475145</v>
      </c>
      <c r="D53" s="54">
        <f t="shared" si="20"/>
        <v>1.244714301</v>
      </c>
      <c r="E53" s="54">
        <f t="shared" si="20"/>
        <v>1.168694739</v>
      </c>
      <c r="F53" s="54">
        <f t="shared" si="20"/>
        <v>1.111191492</v>
      </c>
      <c r="G53" s="54">
        <f t="shared" si="20"/>
        <v>1.076539</v>
      </c>
      <c r="H53" s="54">
        <f t="shared" si="20"/>
        <v>1.059769752</v>
      </c>
      <c r="I53" s="54">
        <f t="shared" si="20"/>
        <v>1.05443278</v>
      </c>
      <c r="J53" s="54">
        <f t="shared" si="20"/>
        <v>1.056846798</v>
      </c>
      <c r="K53" s="54">
        <f t="shared" si="20"/>
        <v>1.064757857</v>
      </c>
      <c r="L53" s="54">
        <f t="shared" si="20"/>
        <v>1.076708697</v>
      </c>
      <c r="M53" s="54">
        <f t="shared" si="20"/>
        <v>1.083760555</v>
      </c>
      <c r="N53" s="55">
        <f t="shared" si="20"/>
        <v>7.535497085</v>
      </c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8.0" customHeight="1">
      <c r="A54" s="29" t="s">
        <v>151</v>
      </c>
      <c r="B54" s="50">
        <f t="shared" ref="B54:N54" si="21">IFERROR(B31/B52,0)</f>
        <v>1.56</v>
      </c>
      <c r="C54" s="50">
        <f t="shared" si="21"/>
        <v>1.337142857</v>
      </c>
      <c r="D54" s="50">
        <f t="shared" si="21"/>
        <v>1.242222222</v>
      </c>
      <c r="E54" s="50">
        <f t="shared" si="21"/>
        <v>1.181818182</v>
      </c>
      <c r="F54" s="50">
        <f t="shared" si="21"/>
        <v>1.3</v>
      </c>
      <c r="G54" s="50">
        <f t="shared" si="21"/>
        <v>1.45</v>
      </c>
      <c r="H54" s="50">
        <f t="shared" si="21"/>
        <v>1.75</v>
      </c>
      <c r="I54" s="50">
        <f t="shared" si="21"/>
        <v>2.1</v>
      </c>
      <c r="J54" s="50">
        <f t="shared" si="21"/>
        <v>2.1</v>
      </c>
      <c r="K54" s="50">
        <f t="shared" si="21"/>
        <v>2.1</v>
      </c>
      <c r="L54" s="50">
        <f t="shared" si="21"/>
        <v>2.1</v>
      </c>
      <c r="M54" s="50">
        <f t="shared" si="21"/>
        <v>2.264996266</v>
      </c>
      <c r="N54" s="56">
        <f t="shared" si="21"/>
        <v>1.753336367</v>
      </c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8.0" customHeight="1">
      <c r="A55" s="29" t="s">
        <v>152</v>
      </c>
      <c r="B55" s="50">
        <f t="shared" ref="B55:N55" si="22">IFERROR(B34/B9,0)</f>
        <v>17.6</v>
      </c>
      <c r="C55" s="50">
        <f t="shared" si="22"/>
        <v>15.14285714</v>
      </c>
      <c r="D55" s="50">
        <f t="shared" si="22"/>
        <v>14</v>
      </c>
      <c r="E55" s="50">
        <f t="shared" si="22"/>
        <v>13.27272727</v>
      </c>
      <c r="F55" s="50">
        <f t="shared" si="22"/>
        <v>14.33333333</v>
      </c>
      <c r="G55" s="50">
        <f t="shared" si="22"/>
        <v>15.38461538</v>
      </c>
      <c r="H55" s="50">
        <f t="shared" si="22"/>
        <v>17.69230769</v>
      </c>
      <c r="I55" s="50">
        <f t="shared" si="22"/>
        <v>20.38461538</v>
      </c>
      <c r="J55" s="50">
        <f t="shared" si="22"/>
        <v>20.53846154</v>
      </c>
      <c r="K55" s="50">
        <f t="shared" si="22"/>
        <v>20.53846154</v>
      </c>
      <c r="L55" s="50">
        <f t="shared" si="22"/>
        <v>20.53846154</v>
      </c>
      <c r="M55" s="50">
        <f t="shared" si="22"/>
        <v>21.91645234</v>
      </c>
      <c r="N55" s="56">
        <f t="shared" si="22"/>
        <v>17.8896332</v>
      </c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8.0" customHeight="1">
      <c r="A56" s="36" t="s">
        <v>153</v>
      </c>
      <c r="B56" s="25">
        <f t="shared" ref="B56:M56" si="23">B30/10</f>
        <v>1500</v>
      </c>
      <c r="C56" s="25">
        <f t="shared" si="23"/>
        <v>2100</v>
      </c>
      <c r="D56" s="25">
        <f t="shared" si="23"/>
        <v>2700</v>
      </c>
      <c r="E56" s="25">
        <f t="shared" si="23"/>
        <v>3300</v>
      </c>
      <c r="F56" s="25">
        <f t="shared" si="23"/>
        <v>3600</v>
      </c>
      <c r="G56" s="25">
        <f t="shared" si="23"/>
        <v>3900</v>
      </c>
      <c r="H56" s="25">
        <f t="shared" si="23"/>
        <v>3900</v>
      </c>
      <c r="I56" s="25">
        <f t="shared" si="23"/>
        <v>3900</v>
      </c>
      <c r="J56" s="25">
        <f t="shared" si="23"/>
        <v>3900</v>
      </c>
      <c r="K56" s="25">
        <f t="shared" si="23"/>
        <v>3900</v>
      </c>
      <c r="L56" s="25">
        <f t="shared" si="23"/>
        <v>3900</v>
      </c>
      <c r="M56" s="25">
        <f t="shared" si="23"/>
        <v>3615.9</v>
      </c>
      <c r="N56" s="66">
        <f>SUM(B56:M56)</f>
        <v>40215.9</v>
      </c>
      <c r="O56" s="59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36" t="s">
        <v>154</v>
      </c>
      <c r="B57" s="57">
        <f t="shared" ref="B57:M57" si="24">B56/B9</f>
        <v>0.3</v>
      </c>
      <c r="C57" s="57">
        <f t="shared" si="24"/>
        <v>0.3</v>
      </c>
      <c r="D57" s="57">
        <f t="shared" si="24"/>
        <v>0.3</v>
      </c>
      <c r="E57" s="57">
        <f t="shared" si="24"/>
        <v>0.3</v>
      </c>
      <c r="F57" s="57">
        <f t="shared" si="24"/>
        <v>0.3</v>
      </c>
      <c r="G57" s="57">
        <f t="shared" si="24"/>
        <v>0.3</v>
      </c>
      <c r="H57" s="57">
        <f t="shared" si="24"/>
        <v>0.3</v>
      </c>
      <c r="I57" s="57">
        <f t="shared" si="24"/>
        <v>0.3</v>
      </c>
      <c r="J57" s="57">
        <f t="shared" si="24"/>
        <v>0.3</v>
      </c>
      <c r="K57" s="57">
        <f t="shared" si="24"/>
        <v>0.3</v>
      </c>
      <c r="L57" s="57">
        <f t="shared" si="24"/>
        <v>0.3</v>
      </c>
      <c r="M57" s="57">
        <f t="shared" si="24"/>
        <v>0.3</v>
      </c>
      <c r="N57" s="57"/>
      <c r="O57" s="53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</sheetData>
  <mergeCells count="9">
    <mergeCell ref="A46:N46"/>
    <mergeCell ref="A50:N50"/>
    <mergeCell ref="A1:N1"/>
    <mergeCell ref="A3:N3"/>
    <mergeCell ref="A14:N14"/>
    <mergeCell ref="A20:N20"/>
    <mergeCell ref="A25:N25"/>
    <mergeCell ref="A26:N26"/>
    <mergeCell ref="A29:N2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13" width="11.0"/>
    <col customWidth="1" min="14" max="14" width="14.0"/>
    <col customWidth="1" min="15" max="26" width="8.71"/>
  </cols>
  <sheetData>
    <row r="1" ht="36.0" customHeight="1">
      <c r="A1" s="58" t="s">
        <v>225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24.0" customHeight="1">
      <c r="A2" s="18" t="s">
        <v>89</v>
      </c>
      <c r="B2" s="60" t="s">
        <v>226</v>
      </c>
      <c r="C2" s="60" t="s">
        <v>227</v>
      </c>
      <c r="D2" s="60" t="s">
        <v>228</v>
      </c>
      <c r="E2" s="60" t="s">
        <v>229</v>
      </c>
      <c r="F2" s="60" t="s">
        <v>230</v>
      </c>
      <c r="G2" s="60" t="s">
        <v>231</v>
      </c>
      <c r="H2" s="60" t="s">
        <v>232</v>
      </c>
      <c r="I2" s="60" t="s">
        <v>233</v>
      </c>
      <c r="J2" s="60" t="s">
        <v>234</v>
      </c>
      <c r="K2" s="60" t="s">
        <v>235</v>
      </c>
      <c r="L2" s="60" t="s">
        <v>236</v>
      </c>
      <c r="M2" s="60" t="s">
        <v>237</v>
      </c>
      <c r="N2" s="61" t="s">
        <v>103</v>
      </c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9.5" customHeight="1">
      <c r="A3" s="20" t="s">
        <v>104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8.0" customHeight="1">
      <c r="A4" s="5" t="s">
        <v>105</v>
      </c>
      <c r="B4" s="22">
        <v>1600.0</v>
      </c>
      <c r="C4" s="22">
        <v>1750.0</v>
      </c>
      <c r="D4" s="22">
        <v>1900.0</v>
      </c>
      <c r="E4" s="22">
        <v>2100.0</v>
      </c>
      <c r="F4" s="22">
        <v>2300.0</v>
      </c>
      <c r="G4" s="22">
        <v>2500.0</v>
      </c>
      <c r="H4" s="22">
        <v>2700.0</v>
      </c>
      <c r="I4" s="22">
        <v>2900.0</v>
      </c>
      <c r="J4" s="22">
        <v>3100.0</v>
      </c>
      <c r="K4" s="22">
        <v>3300.0</v>
      </c>
      <c r="L4" s="22">
        <v>3500.0</v>
      </c>
      <c r="M4" s="22">
        <v>3700.0</v>
      </c>
      <c r="N4" s="23">
        <f>M4</f>
        <v>3700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8.0" customHeight="1">
      <c r="A5" s="24" t="s">
        <v>106</v>
      </c>
      <c r="B5" s="25">
        <f>B4-'Y3 2029 Seed'!M4</f>
        <v>100</v>
      </c>
      <c r="C5" s="25">
        <f t="shared" ref="C5:M5" si="1">C4-B4</f>
        <v>150</v>
      </c>
      <c r="D5" s="25">
        <f t="shared" si="1"/>
        <v>150</v>
      </c>
      <c r="E5" s="25">
        <f t="shared" si="1"/>
        <v>200</v>
      </c>
      <c r="F5" s="25">
        <f t="shared" si="1"/>
        <v>200</v>
      </c>
      <c r="G5" s="25">
        <f t="shared" si="1"/>
        <v>200</v>
      </c>
      <c r="H5" s="25">
        <f t="shared" si="1"/>
        <v>200</v>
      </c>
      <c r="I5" s="25">
        <f t="shared" si="1"/>
        <v>200</v>
      </c>
      <c r="J5" s="25">
        <f t="shared" si="1"/>
        <v>200</v>
      </c>
      <c r="K5" s="25">
        <f t="shared" si="1"/>
        <v>200</v>
      </c>
      <c r="L5" s="25">
        <f t="shared" si="1"/>
        <v>200</v>
      </c>
      <c r="M5" s="25">
        <f t="shared" si="1"/>
        <v>200</v>
      </c>
      <c r="N5" s="23">
        <f>SUM(B5:M5)</f>
        <v>2200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8.0" customHeight="1">
      <c r="A6" s="5" t="s">
        <v>212</v>
      </c>
      <c r="B6" s="25">
        <f>B4/Assumptions!B21</f>
        <v>160</v>
      </c>
      <c r="C6" s="25">
        <f>C4/Assumptions!B21</f>
        <v>175</v>
      </c>
      <c r="D6" s="25">
        <f>D4/Assumptions!B21</f>
        <v>190</v>
      </c>
      <c r="E6" s="25">
        <f>E4/Assumptions!B21</f>
        <v>210</v>
      </c>
      <c r="F6" s="25">
        <f>F4/Assumptions!B21</f>
        <v>230</v>
      </c>
      <c r="G6" s="25">
        <f>G4/Assumptions!B21</f>
        <v>250</v>
      </c>
      <c r="H6" s="25">
        <f>H4/Assumptions!B21</f>
        <v>270</v>
      </c>
      <c r="I6" s="25">
        <f>I4/Assumptions!B21</f>
        <v>290</v>
      </c>
      <c r="J6" s="25">
        <f>J4/Assumptions!B21</f>
        <v>310</v>
      </c>
      <c r="K6" s="25">
        <f>K4/Assumptions!B21</f>
        <v>330</v>
      </c>
      <c r="L6" s="25">
        <f>L4/Assumptions!B21</f>
        <v>350</v>
      </c>
      <c r="M6" s="25">
        <f>M4/Assumptions!B21</f>
        <v>370</v>
      </c>
      <c r="N6" s="23">
        <f>M6</f>
        <v>370</v>
      </c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8.0" customHeight="1">
      <c r="A7" s="5" t="s">
        <v>108</v>
      </c>
      <c r="B7" s="22">
        <v>120.0</v>
      </c>
      <c r="C7" s="22">
        <v>125.0</v>
      </c>
      <c r="D7" s="22">
        <v>130.0</v>
      </c>
      <c r="E7" s="22">
        <v>135.0</v>
      </c>
      <c r="F7" s="22">
        <v>140.0</v>
      </c>
      <c r="G7" s="22">
        <v>145.0</v>
      </c>
      <c r="H7" s="22">
        <v>150.0</v>
      </c>
      <c r="I7" s="22">
        <v>155.0</v>
      </c>
      <c r="J7" s="22">
        <v>160.0</v>
      </c>
      <c r="K7" s="22">
        <v>165.0</v>
      </c>
      <c r="L7" s="22">
        <v>170.0</v>
      </c>
      <c r="M7" s="22">
        <v>175.0</v>
      </c>
      <c r="N7" s="23">
        <f t="shared" ref="N7:N9" si="3">SUM(B7:M7)</f>
        <v>1770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8.0" customHeight="1">
      <c r="A8" s="5" t="s">
        <v>169</v>
      </c>
      <c r="B8" s="25">
        <f t="shared" ref="B8:M8" si="2">B4*B7</f>
        <v>192000</v>
      </c>
      <c r="C8" s="25">
        <f t="shared" si="2"/>
        <v>218750</v>
      </c>
      <c r="D8" s="25">
        <f t="shared" si="2"/>
        <v>247000</v>
      </c>
      <c r="E8" s="25">
        <f t="shared" si="2"/>
        <v>283500</v>
      </c>
      <c r="F8" s="25">
        <f t="shared" si="2"/>
        <v>322000</v>
      </c>
      <c r="G8" s="25">
        <f t="shared" si="2"/>
        <v>362500</v>
      </c>
      <c r="H8" s="25">
        <f t="shared" si="2"/>
        <v>405000</v>
      </c>
      <c r="I8" s="25">
        <f t="shared" si="2"/>
        <v>449500</v>
      </c>
      <c r="J8" s="25">
        <f t="shared" si="2"/>
        <v>496000</v>
      </c>
      <c r="K8" s="25">
        <f t="shared" si="2"/>
        <v>544500</v>
      </c>
      <c r="L8" s="25">
        <f t="shared" si="2"/>
        <v>595000</v>
      </c>
      <c r="M8" s="25">
        <f t="shared" si="2"/>
        <v>647500</v>
      </c>
      <c r="N8" s="23">
        <f t="shared" si="3"/>
        <v>4763250</v>
      </c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8.0" customHeight="1">
      <c r="A9" s="5" t="s">
        <v>170</v>
      </c>
      <c r="B9" s="22">
        <v>20000.0</v>
      </c>
      <c r="C9" s="22">
        <v>25000.0</v>
      </c>
      <c r="D9" s="22">
        <v>30000.0</v>
      </c>
      <c r="E9" s="22">
        <v>35000.0</v>
      </c>
      <c r="F9" s="22">
        <v>40000.0</v>
      </c>
      <c r="G9" s="22">
        <v>45000.0</v>
      </c>
      <c r="H9" s="22">
        <v>45000.0</v>
      </c>
      <c r="I9" s="22">
        <v>45000.0</v>
      </c>
      <c r="J9" s="22">
        <v>45000.0</v>
      </c>
      <c r="K9" s="22">
        <v>50000.0</v>
      </c>
      <c r="L9" s="22">
        <v>50000.0</v>
      </c>
      <c r="M9" s="22">
        <v>47990.0</v>
      </c>
      <c r="N9" s="23">
        <f t="shared" si="3"/>
        <v>477990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8.0" customHeight="1">
      <c r="A10" s="5" t="s">
        <v>213</v>
      </c>
      <c r="B10" s="25">
        <f>'Y3 2029 Seed'!N10+B9</f>
        <v>179168</v>
      </c>
      <c r="C10" s="25">
        <f t="shared" ref="C10:M10" si="4">B10+C9</f>
        <v>204168</v>
      </c>
      <c r="D10" s="25">
        <f t="shared" si="4"/>
        <v>234168</v>
      </c>
      <c r="E10" s="25">
        <f t="shared" si="4"/>
        <v>269168</v>
      </c>
      <c r="F10" s="25">
        <f t="shared" si="4"/>
        <v>309168</v>
      </c>
      <c r="G10" s="25">
        <f t="shared" si="4"/>
        <v>354168</v>
      </c>
      <c r="H10" s="25">
        <f t="shared" si="4"/>
        <v>399168</v>
      </c>
      <c r="I10" s="25">
        <f t="shared" si="4"/>
        <v>444168</v>
      </c>
      <c r="J10" s="25">
        <f t="shared" si="4"/>
        <v>489168</v>
      </c>
      <c r="K10" s="25">
        <f t="shared" si="4"/>
        <v>539168</v>
      </c>
      <c r="L10" s="25">
        <f t="shared" si="4"/>
        <v>589168</v>
      </c>
      <c r="M10" s="25">
        <f t="shared" si="4"/>
        <v>637158</v>
      </c>
      <c r="N10" s="23">
        <f t="shared" ref="N10:N12" si="5">M10</f>
        <v>637158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8.0" customHeight="1">
      <c r="A11" s="5" t="s">
        <v>112</v>
      </c>
      <c r="B11" s="26">
        <v>0.72</v>
      </c>
      <c r="C11" s="26">
        <v>0.73</v>
      </c>
      <c r="D11" s="26">
        <v>0.74</v>
      </c>
      <c r="E11" s="26">
        <v>0.75</v>
      </c>
      <c r="F11" s="26">
        <v>0.76</v>
      </c>
      <c r="G11" s="26">
        <v>0.77</v>
      </c>
      <c r="H11" s="26">
        <v>0.78</v>
      </c>
      <c r="I11" s="26">
        <v>0.79</v>
      </c>
      <c r="J11" s="26">
        <v>0.8</v>
      </c>
      <c r="K11" s="26">
        <v>0.81</v>
      </c>
      <c r="L11" s="26">
        <v>0.82</v>
      </c>
      <c r="M11" s="26">
        <v>0.83</v>
      </c>
      <c r="N11" s="27">
        <f t="shared" si="5"/>
        <v>0.83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8.0" customHeight="1">
      <c r="A12" s="5" t="s">
        <v>113</v>
      </c>
      <c r="B12" s="26">
        <v>0.42</v>
      </c>
      <c r="C12" s="26">
        <v>0.44</v>
      </c>
      <c r="D12" s="26">
        <v>0.46</v>
      </c>
      <c r="E12" s="26">
        <v>0.48</v>
      </c>
      <c r="F12" s="26">
        <v>0.5</v>
      </c>
      <c r="G12" s="26">
        <v>0.51</v>
      </c>
      <c r="H12" s="26">
        <v>0.52</v>
      </c>
      <c r="I12" s="26">
        <v>0.53</v>
      </c>
      <c r="J12" s="26">
        <v>0.54</v>
      </c>
      <c r="K12" s="26">
        <v>0.55</v>
      </c>
      <c r="L12" s="26">
        <v>0.55</v>
      </c>
      <c r="M12" s="26">
        <v>0.55</v>
      </c>
      <c r="N12" s="27">
        <f t="shared" si="5"/>
        <v>0.55</v>
      </c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9.5" customHeight="1">
      <c r="A14" s="28" t="s">
        <v>114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8.0" customHeight="1">
      <c r="A15" s="36" t="s">
        <v>214</v>
      </c>
      <c r="B15" s="68">
        <f>B8*(1-B12)*Assumptions!B15</f>
        <v>167040</v>
      </c>
      <c r="C15" s="68">
        <f>C8*(1-C12)*Assumptions!B15</f>
        <v>183750</v>
      </c>
      <c r="D15" s="68">
        <f>D8*(1-D12)*Assumptions!B15</f>
        <v>200070</v>
      </c>
      <c r="E15" s="68">
        <f>E8*(1-E12)*Assumptions!B15</f>
        <v>221130</v>
      </c>
      <c r="F15" s="68">
        <f>F8*(1-F12)*Assumptions!B15</f>
        <v>241500</v>
      </c>
      <c r="G15" s="68">
        <f>G8*(1-G12)*Assumptions!B15</f>
        <v>266437.5</v>
      </c>
      <c r="H15" s="68">
        <f>H8*(1-H12)*Assumptions!B15</f>
        <v>291600</v>
      </c>
      <c r="I15" s="68">
        <f>I8*(1-I12)*Assumptions!B15</f>
        <v>316897.5</v>
      </c>
      <c r="J15" s="68">
        <f>J8*(1-J12)*Assumptions!B15</f>
        <v>342240</v>
      </c>
      <c r="K15" s="68">
        <f>K8*(1-K12)*Assumptions!B15</f>
        <v>367537.5</v>
      </c>
      <c r="L15" s="68">
        <f>L8*(1-L12)*Assumptions!B15</f>
        <v>401625</v>
      </c>
      <c r="M15" s="68">
        <f>M8*(1-M12)*Assumptions!B15</f>
        <v>437062.5</v>
      </c>
      <c r="N15" s="32">
        <f t="shared" ref="N15:N20" si="6">SUM(B15:M15)</f>
        <v>3436890</v>
      </c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8.0" customHeight="1">
      <c r="A16" s="36" t="s">
        <v>215</v>
      </c>
      <c r="B16" s="68">
        <f>B8*B12*Assumptions!B16</f>
        <v>161280</v>
      </c>
      <c r="C16" s="68">
        <f>C8*C12*Assumptions!B16</f>
        <v>192500</v>
      </c>
      <c r="D16" s="68">
        <f>D8*D12*Assumptions!B16</f>
        <v>227240</v>
      </c>
      <c r="E16" s="68">
        <f>E8*E12*Assumptions!B16</f>
        <v>272160</v>
      </c>
      <c r="F16" s="68">
        <f>F8*F12*Assumptions!B16</f>
        <v>322000</v>
      </c>
      <c r="G16" s="68">
        <f>G8*G12*Assumptions!B16</f>
        <v>369750</v>
      </c>
      <c r="H16" s="68">
        <f>H8*H12*Assumptions!B16</f>
        <v>421200</v>
      </c>
      <c r="I16" s="68">
        <f>I8*I12*Assumptions!B16</f>
        <v>476470</v>
      </c>
      <c r="J16" s="68">
        <f>J8*J12*Assumptions!B16</f>
        <v>535680</v>
      </c>
      <c r="K16" s="68">
        <f>K8*K12*Assumptions!B16</f>
        <v>598950</v>
      </c>
      <c r="L16" s="68">
        <f>L8*L12*Assumptions!B16</f>
        <v>654500</v>
      </c>
      <c r="M16" s="68">
        <f>M8*M12*Assumptions!B16</f>
        <v>712250</v>
      </c>
      <c r="N16" s="32">
        <f t="shared" si="6"/>
        <v>4943980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8.0" customHeight="1">
      <c r="A17" s="36" t="s">
        <v>216</v>
      </c>
      <c r="B17" s="68">
        <f>B6*B11*Assumptions!B20</f>
        <v>40320</v>
      </c>
      <c r="C17" s="68">
        <f>C6*C11*Assumptions!B20</f>
        <v>44712.5</v>
      </c>
      <c r="D17" s="68">
        <f>D6*D11*Assumptions!B20</f>
        <v>49210</v>
      </c>
      <c r="E17" s="68">
        <f>E6*E11*Assumptions!B20</f>
        <v>55125</v>
      </c>
      <c r="F17" s="68">
        <f>F6*F11*Assumptions!B20</f>
        <v>61180</v>
      </c>
      <c r="G17" s="68">
        <f>G6*G11*Assumptions!B20</f>
        <v>67375</v>
      </c>
      <c r="H17" s="68">
        <f>H6*H11*Assumptions!B20</f>
        <v>73710</v>
      </c>
      <c r="I17" s="68">
        <f>I6*I11*Assumptions!B20</f>
        <v>80185</v>
      </c>
      <c r="J17" s="68">
        <f>J6*J11*Assumptions!B20</f>
        <v>86800</v>
      </c>
      <c r="K17" s="68">
        <f>K6*K11*Assumptions!B20</f>
        <v>93555</v>
      </c>
      <c r="L17" s="68">
        <f>L6*L11*Assumptions!B20</f>
        <v>100450</v>
      </c>
      <c r="M17" s="68">
        <f>M6*M11*Assumptions!B20</f>
        <v>107485</v>
      </c>
      <c r="N17" s="32">
        <f t="shared" si="6"/>
        <v>860107.5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8.0" customHeight="1">
      <c r="A18" s="36" t="s">
        <v>217</v>
      </c>
      <c r="B18" s="69">
        <v>4000.0</v>
      </c>
      <c r="C18" s="69">
        <v>5000.0</v>
      </c>
      <c r="D18" s="69">
        <v>6000.0</v>
      </c>
      <c r="E18" s="69">
        <v>8000.0</v>
      </c>
      <c r="F18" s="69">
        <v>10000.0</v>
      </c>
      <c r="G18" s="69">
        <v>12000.0</v>
      </c>
      <c r="H18" s="69">
        <v>13000.0</v>
      </c>
      <c r="I18" s="69">
        <v>14000.0</v>
      </c>
      <c r="J18" s="69">
        <v>15000.0</v>
      </c>
      <c r="K18" s="69">
        <v>15000.0</v>
      </c>
      <c r="L18" s="69">
        <v>16000.0</v>
      </c>
      <c r="M18" s="69">
        <v>17000.0</v>
      </c>
      <c r="N18" s="32">
        <f t="shared" si="6"/>
        <v>135000</v>
      </c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8.0" customHeight="1">
      <c r="A19" s="36" t="s">
        <v>238</v>
      </c>
      <c r="B19" s="69">
        <v>0.0</v>
      </c>
      <c r="C19" s="69">
        <v>0.0</v>
      </c>
      <c r="D19" s="69">
        <v>0.0</v>
      </c>
      <c r="E19" s="69">
        <v>0.0</v>
      </c>
      <c r="F19" s="69">
        <v>0.0</v>
      </c>
      <c r="G19" s="69">
        <v>8000.0</v>
      </c>
      <c r="H19" s="69">
        <v>8000.0</v>
      </c>
      <c r="I19" s="69">
        <v>10000.0</v>
      </c>
      <c r="J19" s="69">
        <v>10000.0</v>
      </c>
      <c r="K19" s="69">
        <v>12000.0</v>
      </c>
      <c r="L19" s="69">
        <v>12000.0</v>
      </c>
      <c r="M19" s="69">
        <v>15000.0</v>
      </c>
      <c r="N19" s="32">
        <f t="shared" si="6"/>
        <v>75000</v>
      </c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8.0" customHeight="1">
      <c r="A20" s="33" t="s">
        <v>117</v>
      </c>
      <c r="B20" s="34">
        <f t="shared" ref="B20:M20" si="7">B15+B16+B17+B18+B19</f>
        <v>372640</v>
      </c>
      <c r="C20" s="34">
        <f t="shared" si="7"/>
        <v>425962.5</v>
      </c>
      <c r="D20" s="34">
        <f t="shared" si="7"/>
        <v>482520</v>
      </c>
      <c r="E20" s="34">
        <f t="shared" si="7"/>
        <v>556415</v>
      </c>
      <c r="F20" s="34">
        <f t="shared" si="7"/>
        <v>634680</v>
      </c>
      <c r="G20" s="34">
        <f t="shared" si="7"/>
        <v>723562.5</v>
      </c>
      <c r="H20" s="34">
        <f t="shared" si="7"/>
        <v>807510</v>
      </c>
      <c r="I20" s="34">
        <f t="shared" si="7"/>
        <v>897552.5</v>
      </c>
      <c r="J20" s="34">
        <f t="shared" si="7"/>
        <v>989720</v>
      </c>
      <c r="K20" s="34">
        <f t="shared" si="7"/>
        <v>1087042.5</v>
      </c>
      <c r="L20" s="34">
        <f t="shared" si="7"/>
        <v>1184575</v>
      </c>
      <c r="M20" s="34">
        <f t="shared" si="7"/>
        <v>1288797.5</v>
      </c>
      <c r="N20" s="35">
        <f t="shared" si="6"/>
        <v>9450977.5</v>
      </c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9.5" customHeight="1">
      <c r="A21" s="20" t="s">
        <v>218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8.0" customHeight="1">
      <c r="A22" s="36" t="s">
        <v>175</v>
      </c>
      <c r="B22" s="30">
        <f>B8*Assumptions!B17</f>
        <v>88320</v>
      </c>
      <c r="C22" s="30">
        <f>C8*Assumptions!B17</f>
        <v>100625</v>
      </c>
      <c r="D22" s="30">
        <f>D8*Assumptions!B17</f>
        <v>113620</v>
      </c>
      <c r="E22" s="30">
        <f>E8*Assumptions!B17</f>
        <v>130410</v>
      </c>
      <c r="F22" s="30">
        <f>F8*Assumptions!B17</f>
        <v>148120</v>
      </c>
      <c r="G22" s="30">
        <f>G8*Assumptions!B17</f>
        <v>166750</v>
      </c>
      <c r="H22" s="30">
        <f>H8*Assumptions!B17</f>
        <v>186300</v>
      </c>
      <c r="I22" s="30">
        <f>I8*Assumptions!B17</f>
        <v>206770</v>
      </c>
      <c r="J22" s="30">
        <f>J8*Assumptions!B17</f>
        <v>228160</v>
      </c>
      <c r="K22" s="30">
        <f>K8*Assumptions!B17</f>
        <v>250470</v>
      </c>
      <c r="L22" s="30">
        <f>L8*Assumptions!B17</f>
        <v>273700</v>
      </c>
      <c r="M22" s="30">
        <f>M8*Assumptions!B17</f>
        <v>297850</v>
      </c>
      <c r="N22" s="32">
        <f t="shared" ref="N22:N23" si="9">SUM(B22:M22)</f>
        <v>2191095</v>
      </c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8.0" customHeight="1">
      <c r="A23" s="33" t="s">
        <v>176</v>
      </c>
      <c r="B23" s="34">
        <f t="shared" ref="B23:M23" si="8">B20-B22</f>
        <v>284320</v>
      </c>
      <c r="C23" s="34">
        <f t="shared" si="8"/>
        <v>325337.5</v>
      </c>
      <c r="D23" s="34">
        <f t="shared" si="8"/>
        <v>368900</v>
      </c>
      <c r="E23" s="34">
        <f t="shared" si="8"/>
        <v>426005</v>
      </c>
      <c r="F23" s="34">
        <f t="shared" si="8"/>
        <v>486560</v>
      </c>
      <c r="G23" s="34">
        <f t="shared" si="8"/>
        <v>556812.5</v>
      </c>
      <c r="H23" s="34">
        <f t="shared" si="8"/>
        <v>621210</v>
      </c>
      <c r="I23" s="34">
        <f t="shared" si="8"/>
        <v>690782.5</v>
      </c>
      <c r="J23" s="34">
        <f t="shared" si="8"/>
        <v>761560</v>
      </c>
      <c r="K23" s="34">
        <f t="shared" si="8"/>
        <v>836572.5</v>
      </c>
      <c r="L23" s="34">
        <f t="shared" si="8"/>
        <v>910875</v>
      </c>
      <c r="M23" s="34">
        <f t="shared" si="8"/>
        <v>990947.5</v>
      </c>
      <c r="N23" s="35">
        <f t="shared" si="9"/>
        <v>7259882.5</v>
      </c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8.0" customHeight="1">
      <c r="A24" s="37" t="s">
        <v>177</v>
      </c>
      <c r="B24" s="38">
        <f t="shared" ref="B24:N24" si="10">IFERROR(B23/B20,0)</f>
        <v>0.762988407</v>
      </c>
      <c r="C24" s="38">
        <f t="shared" si="10"/>
        <v>0.7637702849</v>
      </c>
      <c r="D24" s="38">
        <f t="shared" si="10"/>
        <v>0.7645278952</v>
      </c>
      <c r="E24" s="38">
        <f t="shared" si="10"/>
        <v>0.7656245788</v>
      </c>
      <c r="F24" s="38">
        <f t="shared" si="10"/>
        <v>0.7666225499</v>
      </c>
      <c r="G24" s="38">
        <f t="shared" si="10"/>
        <v>0.7695430595</v>
      </c>
      <c r="H24" s="38">
        <f t="shared" si="10"/>
        <v>0.7692907828</v>
      </c>
      <c r="I24" s="38">
        <f t="shared" si="10"/>
        <v>0.7696290746</v>
      </c>
      <c r="J24" s="38">
        <f t="shared" si="10"/>
        <v>0.7694701532</v>
      </c>
      <c r="K24" s="38">
        <f t="shared" si="10"/>
        <v>0.7695858258</v>
      </c>
      <c r="L24" s="38">
        <f t="shared" si="10"/>
        <v>0.7689466686</v>
      </c>
      <c r="M24" s="38">
        <f t="shared" si="10"/>
        <v>0.7688930961</v>
      </c>
      <c r="N24" s="27">
        <f t="shared" si="10"/>
        <v>0.7681620764</v>
      </c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9.5" customHeight="1">
      <c r="A26" s="39" t="s">
        <v>178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9.5" customHeight="1">
      <c r="A27" s="20" t="s">
        <v>219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8.0" customHeight="1">
      <c r="A28" s="37" t="s">
        <v>220</v>
      </c>
      <c r="B28" s="70">
        <v>150000.0</v>
      </c>
      <c r="C28" s="70">
        <v>150000.0</v>
      </c>
      <c r="D28" s="70">
        <v>150000.0</v>
      </c>
      <c r="E28" s="70">
        <v>150000.0</v>
      </c>
      <c r="F28" s="70">
        <v>150000.0</v>
      </c>
      <c r="G28" s="70">
        <v>150000.0</v>
      </c>
      <c r="H28" s="70">
        <v>150000.0</v>
      </c>
      <c r="I28" s="70">
        <v>150000.0</v>
      </c>
      <c r="J28" s="70">
        <v>150000.0</v>
      </c>
      <c r="K28" s="70">
        <v>150000.0</v>
      </c>
      <c r="L28" s="70">
        <v>150000.0</v>
      </c>
      <c r="M28" s="70">
        <v>150000.0</v>
      </c>
      <c r="N28" s="32">
        <f t="shared" ref="N28:N29" si="12">SUM(B28:M28)</f>
        <v>1800000</v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8.0" customHeight="1">
      <c r="A29" s="33" t="s">
        <v>130</v>
      </c>
      <c r="B29" s="34">
        <f t="shared" ref="B29:M29" si="11">B28</f>
        <v>150000</v>
      </c>
      <c r="C29" s="34">
        <f t="shared" si="11"/>
        <v>150000</v>
      </c>
      <c r="D29" s="34">
        <f t="shared" si="11"/>
        <v>150000</v>
      </c>
      <c r="E29" s="34">
        <f t="shared" si="11"/>
        <v>150000</v>
      </c>
      <c r="F29" s="34">
        <f t="shared" si="11"/>
        <v>150000</v>
      </c>
      <c r="G29" s="34">
        <f t="shared" si="11"/>
        <v>150000</v>
      </c>
      <c r="H29" s="34">
        <f t="shared" si="11"/>
        <v>150000</v>
      </c>
      <c r="I29" s="34">
        <f t="shared" si="11"/>
        <v>150000</v>
      </c>
      <c r="J29" s="34">
        <f t="shared" si="11"/>
        <v>150000</v>
      </c>
      <c r="K29" s="34">
        <f t="shared" si="11"/>
        <v>150000</v>
      </c>
      <c r="L29" s="34">
        <f t="shared" si="11"/>
        <v>150000</v>
      </c>
      <c r="M29" s="34">
        <f t="shared" si="11"/>
        <v>150000</v>
      </c>
      <c r="N29" s="35">
        <f t="shared" si="12"/>
        <v>1800000</v>
      </c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9.5" customHeight="1">
      <c r="A30" s="20" t="s">
        <v>131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6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8.0" customHeight="1">
      <c r="A31" s="29" t="s">
        <v>239</v>
      </c>
      <c r="B31" s="30">
        <f>B9*Assumptions!B28*Assumptions!B26</f>
        <v>60000</v>
      </c>
      <c r="C31" s="30">
        <f>C9*Assumptions!B28*Assumptions!B26</f>
        <v>75000</v>
      </c>
      <c r="D31" s="30">
        <f>D9*Assumptions!B28*Assumptions!B26</f>
        <v>90000</v>
      </c>
      <c r="E31" s="30">
        <f>E9*Assumptions!B28*Assumptions!B26</f>
        <v>105000</v>
      </c>
      <c r="F31" s="30">
        <f>F9*Assumptions!B28*Assumptions!B26</f>
        <v>120000</v>
      </c>
      <c r="G31" s="30">
        <f>G9*Assumptions!B28*Assumptions!B26</f>
        <v>135000</v>
      </c>
      <c r="H31" s="30">
        <f>H9*Assumptions!B28*Assumptions!B26</f>
        <v>135000</v>
      </c>
      <c r="I31" s="30">
        <f>I9*Assumptions!B28*Assumptions!B26</f>
        <v>135000</v>
      </c>
      <c r="J31" s="30">
        <f>J9*Assumptions!B28*Assumptions!B26</f>
        <v>135000</v>
      </c>
      <c r="K31" s="30">
        <f>K9*Assumptions!B28*Assumptions!B26</f>
        <v>150000</v>
      </c>
      <c r="L31" s="30">
        <f>L9*Assumptions!B28*Assumptions!B26</f>
        <v>150000</v>
      </c>
      <c r="M31" s="31">
        <v>150000.0</v>
      </c>
      <c r="N31" s="32">
        <f t="shared" ref="N31:N42" si="14">SUM(B31:M31)</f>
        <v>1440000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8.0" customHeight="1">
      <c r="A32" s="36" t="s">
        <v>188</v>
      </c>
      <c r="B32" s="42">
        <v>300000.0</v>
      </c>
      <c r="C32" s="42">
        <f t="shared" ref="C32:D32" si="13">B32*1.2</f>
        <v>360000</v>
      </c>
      <c r="D32" s="42">
        <f t="shared" si="13"/>
        <v>432000</v>
      </c>
      <c r="E32" s="42">
        <v>520000.0</v>
      </c>
      <c r="F32" s="42">
        <v>622000.0</v>
      </c>
      <c r="G32" s="42">
        <v>750000.0</v>
      </c>
      <c r="H32" s="42">
        <v>750000.0</v>
      </c>
      <c r="I32" s="42">
        <v>750000.0</v>
      </c>
      <c r="J32" s="42">
        <v>750000.0</v>
      </c>
      <c r="K32" s="42">
        <v>750000.0</v>
      </c>
      <c r="L32" s="42">
        <v>750000.0</v>
      </c>
      <c r="M32" s="42">
        <v>750000.0</v>
      </c>
      <c r="N32" s="32">
        <f t="shared" si="14"/>
        <v>7484000</v>
      </c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8.0" customHeight="1">
      <c r="A33" s="36" t="s">
        <v>189</v>
      </c>
      <c r="B33" s="41">
        <v>12000.0</v>
      </c>
      <c r="C33" s="41">
        <v>12000.0</v>
      </c>
      <c r="D33" s="41">
        <v>12000.0</v>
      </c>
      <c r="E33" s="41">
        <v>12000.0</v>
      </c>
      <c r="F33" s="41">
        <v>12000.0</v>
      </c>
      <c r="G33" s="41">
        <v>12000.0</v>
      </c>
      <c r="H33" s="41">
        <v>12000.0</v>
      </c>
      <c r="I33" s="41">
        <v>12000.0</v>
      </c>
      <c r="J33" s="41">
        <v>12000.0</v>
      </c>
      <c r="K33" s="41">
        <v>12000.0</v>
      </c>
      <c r="L33" s="41">
        <v>12000.0</v>
      </c>
      <c r="M33" s="41">
        <v>12000.0</v>
      </c>
      <c r="N33" s="32">
        <f t="shared" si="14"/>
        <v>144000</v>
      </c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8.0" customHeight="1">
      <c r="A34" s="36" t="s">
        <v>221</v>
      </c>
      <c r="B34" s="41">
        <v>10000.0</v>
      </c>
      <c r="C34" s="41">
        <v>10000.0</v>
      </c>
      <c r="D34" s="41">
        <v>12000.0</v>
      </c>
      <c r="E34" s="41">
        <v>12000.0</v>
      </c>
      <c r="F34" s="41">
        <v>15000.0</v>
      </c>
      <c r="G34" s="41">
        <v>15000.0</v>
      </c>
      <c r="H34" s="41">
        <v>15000.0</v>
      </c>
      <c r="I34" s="41">
        <v>15000.0</v>
      </c>
      <c r="J34" s="41">
        <v>18000.0</v>
      </c>
      <c r="K34" s="41">
        <v>18000.0</v>
      </c>
      <c r="L34" s="41">
        <v>18000.0</v>
      </c>
      <c r="M34" s="41">
        <v>18000.0</v>
      </c>
      <c r="N34" s="32">
        <f t="shared" si="14"/>
        <v>176000</v>
      </c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8.0" customHeight="1">
      <c r="A35" s="33" t="s">
        <v>137</v>
      </c>
      <c r="B35" s="34">
        <f t="shared" ref="B35:M35" si="15">SUM(B31:B34)</f>
        <v>382000</v>
      </c>
      <c r="C35" s="34">
        <f t="shared" si="15"/>
        <v>457000</v>
      </c>
      <c r="D35" s="34">
        <f t="shared" si="15"/>
        <v>546000</v>
      </c>
      <c r="E35" s="34">
        <f t="shared" si="15"/>
        <v>649000</v>
      </c>
      <c r="F35" s="34">
        <f t="shared" si="15"/>
        <v>769000</v>
      </c>
      <c r="G35" s="34">
        <f t="shared" si="15"/>
        <v>912000</v>
      </c>
      <c r="H35" s="34">
        <f t="shared" si="15"/>
        <v>912000</v>
      </c>
      <c r="I35" s="34">
        <f t="shared" si="15"/>
        <v>912000</v>
      </c>
      <c r="J35" s="34">
        <f t="shared" si="15"/>
        <v>915000</v>
      </c>
      <c r="K35" s="34">
        <f t="shared" si="15"/>
        <v>930000</v>
      </c>
      <c r="L35" s="34">
        <f t="shared" si="15"/>
        <v>930000</v>
      </c>
      <c r="M35" s="34">
        <f t="shared" si="15"/>
        <v>930000</v>
      </c>
      <c r="N35" s="35">
        <f t="shared" si="14"/>
        <v>9244000</v>
      </c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8.0" customHeight="1">
      <c r="A36" s="71" t="s">
        <v>190</v>
      </c>
      <c r="B36" s="41">
        <v>8000.0</v>
      </c>
      <c r="C36" s="41">
        <v>8000.0</v>
      </c>
      <c r="D36" s="41">
        <v>8000.0</v>
      </c>
      <c r="E36" s="41">
        <v>8000.0</v>
      </c>
      <c r="F36" s="41">
        <v>8000.0</v>
      </c>
      <c r="G36" s="41">
        <v>8000.0</v>
      </c>
      <c r="H36" s="41">
        <v>8000.0</v>
      </c>
      <c r="I36" s="41">
        <v>8000.0</v>
      </c>
      <c r="J36" s="41">
        <v>8000.0</v>
      </c>
      <c r="K36" s="41">
        <v>8000.0</v>
      </c>
      <c r="L36" s="41">
        <v>8000.0</v>
      </c>
      <c r="M36" s="41">
        <v>8000.0</v>
      </c>
      <c r="N36" s="32">
        <f t="shared" si="14"/>
        <v>96000</v>
      </c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8.0" customHeight="1">
      <c r="A37" s="71" t="s">
        <v>222</v>
      </c>
      <c r="B37" s="41">
        <v>500.0</v>
      </c>
      <c r="C37" s="41">
        <v>500.0</v>
      </c>
      <c r="D37" s="41">
        <v>500.0</v>
      </c>
      <c r="E37" s="41">
        <v>500.0</v>
      </c>
      <c r="F37" s="41">
        <v>500.0</v>
      </c>
      <c r="G37" s="41">
        <v>500.0</v>
      </c>
      <c r="H37" s="41">
        <v>500.0</v>
      </c>
      <c r="I37" s="41">
        <v>500.0</v>
      </c>
      <c r="J37" s="41">
        <v>500.0</v>
      </c>
      <c r="K37" s="41">
        <v>500.0</v>
      </c>
      <c r="L37" s="41">
        <v>500.0</v>
      </c>
      <c r="M37" s="41">
        <v>500.0</v>
      </c>
      <c r="N37" s="32">
        <f t="shared" si="14"/>
        <v>6000</v>
      </c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8.0" customHeight="1">
      <c r="A38" s="71" t="s">
        <v>192</v>
      </c>
      <c r="B38" s="41">
        <v>8000.0</v>
      </c>
      <c r="C38" s="41">
        <v>8000.0</v>
      </c>
      <c r="D38" s="41">
        <v>8000.0</v>
      </c>
      <c r="E38" s="41">
        <v>8000.0</v>
      </c>
      <c r="F38" s="41">
        <v>8000.0</v>
      </c>
      <c r="G38" s="41">
        <v>8000.0</v>
      </c>
      <c r="H38" s="41">
        <v>8000.0</v>
      </c>
      <c r="I38" s="41">
        <v>8000.0</v>
      </c>
      <c r="J38" s="41">
        <v>8000.0</v>
      </c>
      <c r="K38" s="41">
        <v>8000.0</v>
      </c>
      <c r="L38" s="41">
        <v>8000.0</v>
      </c>
      <c r="M38" s="41">
        <v>8000.0</v>
      </c>
      <c r="N38" s="32">
        <f t="shared" si="14"/>
        <v>96000</v>
      </c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8.0" customHeight="1">
      <c r="A39" s="71" t="s">
        <v>223</v>
      </c>
      <c r="B39" s="41">
        <v>8000.0</v>
      </c>
      <c r="C39" s="41">
        <v>8000.0</v>
      </c>
      <c r="D39" s="41">
        <v>8000.0</v>
      </c>
      <c r="E39" s="41">
        <v>8000.0</v>
      </c>
      <c r="F39" s="41">
        <v>8000.0</v>
      </c>
      <c r="G39" s="41">
        <v>8000.0</v>
      </c>
      <c r="H39" s="41">
        <v>8000.0</v>
      </c>
      <c r="I39" s="41">
        <v>8000.0</v>
      </c>
      <c r="J39" s="41">
        <v>8000.0</v>
      </c>
      <c r="K39" s="41">
        <v>8000.0</v>
      </c>
      <c r="L39" s="41">
        <v>8000.0</v>
      </c>
      <c r="M39" s="41">
        <v>8000.0</v>
      </c>
      <c r="N39" s="32">
        <f t="shared" si="14"/>
        <v>96000</v>
      </c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8.0" customHeight="1">
      <c r="A40" s="71" t="s">
        <v>194</v>
      </c>
      <c r="B40" s="41">
        <v>3500.0</v>
      </c>
      <c r="C40" s="41">
        <v>3500.0</v>
      </c>
      <c r="D40" s="41">
        <v>3500.0</v>
      </c>
      <c r="E40" s="41">
        <v>3500.0</v>
      </c>
      <c r="F40" s="41">
        <v>3500.0</v>
      </c>
      <c r="G40" s="41">
        <v>3500.0</v>
      </c>
      <c r="H40" s="41">
        <v>3500.0</v>
      </c>
      <c r="I40" s="41">
        <v>3500.0</v>
      </c>
      <c r="J40" s="41">
        <v>3500.0</v>
      </c>
      <c r="K40" s="41">
        <v>3500.0</v>
      </c>
      <c r="L40" s="41">
        <v>3500.0</v>
      </c>
      <c r="M40" s="41">
        <v>3500.0</v>
      </c>
      <c r="N40" s="32">
        <f t="shared" si="14"/>
        <v>42000</v>
      </c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8.0" customHeight="1">
      <c r="A41" s="71" t="s">
        <v>195</v>
      </c>
      <c r="B41" s="41">
        <v>5000.0</v>
      </c>
      <c r="C41" s="41">
        <v>5000.0</v>
      </c>
      <c r="D41" s="41">
        <v>5000.0</v>
      </c>
      <c r="E41" s="41">
        <v>5000.0</v>
      </c>
      <c r="F41" s="41">
        <v>5000.0</v>
      </c>
      <c r="G41" s="41">
        <v>5000.0</v>
      </c>
      <c r="H41" s="41">
        <v>5000.0</v>
      </c>
      <c r="I41" s="41">
        <v>5000.0</v>
      </c>
      <c r="J41" s="41">
        <v>5000.0</v>
      </c>
      <c r="K41" s="41">
        <v>5000.0</v>
      </c>
      <c r="L41" s="41">
        <v>5000.0</v>
      </c>
      <c r="M41" s="41">
        <v>5000.0</v>
      </c>
      <c r="N41" s="32">
        <f t="shared" si="14"/>
        <v>60000</v>
      </c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8.0" customHeight="1">
      <c r="A42" s="33" t="s">
        <v>142</v>
      </c>
      <c r="B42" s="34">
        <f t="shared" ref="B42:M42" si="16">B29+B35+B36+B37+B38+B39+B40+B41</f>
        <v>565000</v>
      </c>
      <c r="C42" s="34">
        <f t="shared" si="16"/>
        <v>640000</v>
      </c>
      <c r="D42" s="34">
        <f t="shared" si="16"/>
        <v>729000</v>
      </c>
      <c r="E42" s="34">
        <f t="shared" si="16"/>
        <v>832000</v>
      </c>
      <c r="F42" s="34">
        <f t="shared" si="16"/>
        <v>952000</v>
      </c>
      <c r="G42" s="34">
        <f t="shared" si="16"/>
        <v>1095000</v>
      </c>
      <c r="H42" s="34">
        <f t="shared" si="16"/>
        <v>1095000</v>
      </c>
      <c r="I42" s="34">
        <f t="shared" si="16"/>
        <v>1095000</v>
      </c>
      <c r="J42" s="34">
        <f t="shared" si="16"/>
        <v>1098000</v>
      </c>
      <c r="K42" s="34">
        <f t="shared" si="16"/>
        <v>1113000</v>
      </c>
      <c r="L42" s="34">
        <f t="shared" si="16"/>
        <v>1113000</v>
      </c>
      <c r="M42" s="34">
        <f t="shared" si="16"/>
        <v>1113000</v>
      </c>
      <c r="N42" s="35">
        <f t="shared" si="14"/>
        <v>11440000</v>
      </c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4.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27.75" customHeight="1">
      <c r="A45" s="43" t="s">
        <v>143</v>
      </c>
      <c r="B45" s="62">
        <f t="shared" ref="B45:M45" si="17">B23-B42</f>
        <v>-280680</v>
      </c>
      <c r="C45" s="62">
        <f t="shared" si="17"/>
        <v>-314662.5</v>
      </c>
      <c r="D45" s="62">
        <f t="shared" si="17"/>
        <v>-360100</v>
      </c>
      <c r="E45" s="62">
        <f t="shared" si="17"/>
        <v>-405995</v>
      </c>
      <c r="F45" s="62">
        <f t="shared" si="17"/>
        <v>-465440</v>
      </c>
      <c r="G45" s="62">
        <f t="shared" si="17"/>
        <v>-538187.5</v>
      </c>
      <c r="H45" s="62">
        <f t="shared" si="17"/>
        <v>-473790</v>
      </c>
      <c r="I45" s="62">
        <f t="shared" si="17"/>
        <v>-404217.5</v>
      </c>
      <c r="J45" s="62">
        <f t="shared" si="17"/>
        <v>-336440</v>
      </c>
      <c r="K45" s="62">
        <f t="shared" si="17"/>
        <v>-276427.5</v>
      </c>
      <c r="L45" s="62">
        <f t="shared" si="17"/>
        <v>-202125</v>
      </c>
      <c r="M45" s="62">
        <f t="shared" si="17"/>
        <v>-122052.5</v>
      </c>
      <c r="N45" s="63">
        <f>SUM(B45:M45)</f>
        <v>-4180117.5</v>
      </c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9.5" customHeight="1">
      <c r="A47" s="28" t="s">
        <v>144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6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8.0" customHeight="1">
      <c r="A48" s="67" t="s">
        <v>240</v>
      </c>
      <c r="B48" s="46">
        <f>'Y3 2029 Seed'!N48+Assumptions!B9</f>
        <v>9186663.25</v>
      </c>
      <c r="C48" s="46">
        <f t="shared" ref="C48:M48" si="18">0</f>
        <v>0</v>
      </c>
      <c r="D48" s="46">
        <f t="shared" si="18"/>
        <v>0</v>
      </c>
      <c r="E48" s="46">
        <f t="shared" si="18"/>
        <v>0</v>
      </c>
      <c r="F48" s="46">
        <f t="shared" si="18"/>
        <v>0</v>
      </c>
      <c r="G48" s="46">
        <f t="shared" si="18"/>
        <v>0</v>
      </c>
      <c r="H48" s="46">
        <f t="shared" si="18"/>
        <v>0</v>
      </c>
      <c r="I48" s="46">
        <f t="shared" si="18"/>
        <v>0</v>
      </c>
      <c r="J48" s="46">
        <f t="shared" si="18"/>
        <v>0</v>
      </c>
      <c r="K48" s="46">
        <f t="shared" si="18"/>
        <v>0</v>
      </c>
      <c r="L48" s="46">
        <f t="shared" si="18"/>
        <v>0</v>
      </c>
      <c r="M48" s="46">
        <f t="shared" si="18"/>
        <v>0</v>
      </c>
      <c r="N48" s="47">
        <f>'Y3 2029 Seed'!N48+Assumptions!B9</f>
        <v>9186663.25</v>
      </c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21.75" customHeight="1">
      <c r="A49" s="64" t="s">
        <v>198</v>
      </c>
      <c r="B49" s="49">
        <f>B48+B45</f>
        <v>8905983.25</v>
      </c>
      <c r="C49" s="49">
        <f t="shared" ref="C49:M49" si="19">B49+C45</f>
        <v>8591320.75</v>
      </c>
      <c r="D49" s="49">
        <f t="shared" si="19"/>
        <v>8231220.75</v>
      </c>
      <c r="E49" s="49">
        <f t="shared" si="19"/>
        <v>7825225.75</v>
      </c>
      <c r="F49" s="49">
        <f t="shared" si="19"/>
        <v>7359785.75</v>
      </c>
      <c r="G49" s="49">
        <f t="shared" si="19"/>
        <v>6821598.25</v>
      </c>
      <c r="H49" s="49">
        <f t="shared" si="19"/>
        <v>6347808.25</v>
      </c>
      <c r="I49" s="49">
        <f t="shared" si="19"/>
        <v>5943590.75</v>
      </c>
      <c r="J49" s="49">
        <f t="shared" si="19"/>
        <v>5607150.75</v>
      </c>
      <c r="K49" s="49">
        <f t="shared" si="19"/>
        <v>5330723.25</v>
      </c>
      <c r="L49" s="49">
        <f t="shared" si="19"/>
        <v>5128598.25</v>
      </c>
      <c r="M49" s="49">
        <f t="shared" si="19"/>
        <v>5006545.75</v>
      </c>
      <c r="N49" s="65">
        <f>M49</f>
        <v>5006545.75</v>
      </c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9.5" customHeight="1">
      <c r="A51" s="28" t="s">
        <v>147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6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8.0" customHeight="1">
      <c r="A52" s="29" t="s">
        <v>148</v>
      </c>
      <c r="B52" s="26">
        <v>0.13</v>
      </c>
      <c r="C52" s="26">
        <v>0.13</v>
      </c>
      <c r="D52" s="26">
        <v>0.13</v>
      </c>
      <c r="E52" s="26">
        <v>0.13</v>
      </c>
      <c r="F52" s="26">
        <v>0.13</v>
      </c>
      <c r="G52" s="26">
        <v>0.13</v>
      </c>
      <c r="H52" s="26">
        <v>0.13</v>
      </c>
      <c r="I52" s="26">
        <v>0.13</v>
      </c>
      <c r="J52" s="26">
        <v>0.13</v>
      </c>
      <c r="K52" s="26">
        <v>0.13</v>
      </c>
      <c r="L52" s="26">
        <v>0.13</v>
      </c>
      <c r="M52" s="26">
        <v>0.13</v>
      </c>
      <c r="N52" s="52">
        <v>0.13</v>
      </c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8.0" customHeight="1">
      <c r="A53" s="29" t="s">
        <v>149</v>
      </c>
      <c r="B53" s="25">
        <f t="shared" ref="B53:M53" si="20">IFERROR(B9/B52,0)</f>
        <v>153846.1538</v>
      </c>
      <c r="C53" s="25">
        <f t="shared" si="20"/>
        <v>192307.6923</v>
      </c>
      <c r="D53" s="25">
        <f t="shared" si="20"/>
        <v>230769.2308</v>
      </c>
      <c r="E53" s="25">
        <f t="shared" si="20"/>
        <v>269230.7692</v>
      </c>
      <c r="F53" s="25">
        <f t="shared" si="20"/>
        <v>307692.3077</v>
      </c>
      <c r="G53" s="25">
        <f t="shared" si="20"/>
        <v>346153.8462</v>
      </c>
      <c r="H53" s="25">
        <f t="shared" si="20"/>
        <v>346153.8462</v>
      </c>
      <c r="I53" s="25">
        <f t="shared" si="20"/>
        <v>346153.8462</v>
      </c>
      <c r="J53" s="25">
        <f t="shared" si="20"/>
        <v>346153.8462</v>
      </c>
      <c r="K53" s="25">
        <f t="shared" si="20"/>
        <v>384615.3846</v>
      </c>
      <c r="L53" s="25">
        <f t="shared" si="20"/>
        <v>384615.3846</v>
      </c>
      <c r="M53" s="25">
        <f t="shared" si="20"/>
        <v>369153.8462</v>
      </c>
      <c r="N53" s="53">
        <f>SUM(B53:M53)</f>
        <v>3676846.154</v>
      </c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8.0" customHeight="1">
      <c r="A54" s="29" t="s">
        <v>150</v>
      </c>
      <c r="B54" s="54">
        <f t="shared" ref="B54:N54" si="21">IFERROR(B8/B10,0)</f>
        <v>1.071619932</v>
      </c>
      <c r="C54" s="54">
        <f t="shared" si="21"/>
        <v>1.071421574</v>
      </c>
      <c r="D54" s="54">
        <f t="shared" si="21"/>
        <v>1.054798264</v>
      </c>
      <c r="E54" s="54">
        <f t="shared" si="21"/>
        <v>1.053245557</v>
      </c>
      <c r="F54" s="54">
        <f t="shared" si="21"/>
        <v>1.041504942</v>
      </c>
      <c r="G54" s="54">
        <f t="shared" si="21"/>
        <v>1.023525558</v>
      </c>
      <c r="H54" s="54">
        <f t="shared" si="21"/>
        <v>1.01461039</v>
      </c>
      <c r="I54" s="54">
        <f t="shared" si="21"/>
        <v>1.012004467</v>
      </c>
      <c r="J54" s="54">
        <f t="shared" si="21"/>
        <v>1.013966572</v>
      </c>
      <c r="K54" s="54">
        <f t="shared" si="21"/>
        <v>1.009889311</v>
      </c>
      <c r="L54" s="54">
        <f t="shared" si="21"/>
        <v>1.009898705</v>
      </c>
      <c r="M54" s="54">
        <f t="shared" si="21"/>
        <v>1.016231453</v>
      </c>
      <c r="N54" s="55">
        <f t="shared" si="21"/>
        <v>7.475775239</v>
      </c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8.0" customHeight="1">
      <c r="A55" s="29" t="s">
        <v>151</v>
      </c>
      <c r="B55" s="50">
        <f t="shared" ref="B55:N55" si="22">IFERROR(B32/B53,0)</f>
        <v>1.95</v>
      </c>
      <c r="C55" s="50">
        <f t="shared" si="22"/>
        <v>1.872</v>
      </c>
      <c r="D55" s="50">
        <f t="shared" si="22"/>
        <v>1.872</v>
      </c>
      <c r="E55" s="50">
        <f t="shared" si="22"/>
        <v>1.931428571</v>
      </c>
      <c r="F55" s="50">
        <f t="shared" si="22"/>
        <v>2.0215</v>
      </c>
      <c r="G55" s="50">
        <f t="shared" si="22"/>
        <v>2.166666667</v>
      </c>
      <c r="H55" s="50">
        <f t="shared" si="22"/>
        <v>2.166666667</v>
      </c>
      <c r="I55" s="50">
        <f t="shared" si="22"/>
        <v>2.166666667</v>
      </c>
      <c r="J55" s="50">
        <f t="shared" si="22"/>
        <v>2.166666667</v>
      </c>
      <c r="K55" s="50">
        <f t="shared" si="22"/>
        <v>1.95</v>
      </c>
      <c r="L55" s="50">
        <f t="shared" si="22"/>
        <v>1.95</v>
      </c>
      <c r="M55" s="50">
        <f t="shared" si="22"/>
        <v>2.031673265</v>
      </c>
      <c r="N55" s="56">
        <f t="shared" si="22"/>
        <v>2.035440072</v>
      </c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8.0" customHeight="1">
      <c r="A56" s="29" t="s">
        <v>241</v>
      </c>
      <c r="B56" s="50">
        <f>B35/B9</f>
        <v>19.1</v>
      </c>
      <c r="C56" s="50">
        <f t="shared" ref="C56:N56" si="23">IFERROR(C35/C9,0)</f>
        <v>18.28</v>
      </c>
      <c r="D56" s="50">
        <f t="shared" si="23"/>
        <v>18.2</v>
      </c>
      <c r="E56" s="50">
        <f t="shared" si="23"/>
        <v>18.54285714</v>
      </c>
      <c r="F56" s="50">
        <f t="shared" si="23"/>
        <v>19.225</v>
      </c>
      <c r="G56" s="50">
        <f t="shared" si="23"/>
        <v>20.26666667</v>
      </c>
      <c r="H56" s="50">
        <f t="shared" si="23"/>
        <v>20.26666667</v>
      </c>
      <c r="I56" s="50">
        <f t="shared" si="23"/>
        <v>20.26666667</v>
      </c>
      <c r="J56" s="50">
        <f t="shared" si="23"/>
        <v>20.33333333</v>
      </c>
      <c r="K56" s="50">
        <f t="shared" si="23"/>
        <v>18.6</v>
      </c>
      <c r="L56" s="50">
        <f t="shared" si="23"/>
        <v>18.6</v>
      </c>
      <c r="M56" s="50">
        <f t="shared" si="23"/>
        <v>19.3790373</v>
      </c>
      <c r="N56" s="56">
        <f t="shared" si="23"/>
        <v>19.33931672</v>
      </c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A57" s="36" t="s">
        <v>153</v>
      </c>
      <c r="B57" s="72">
        <f t="shared" ref="B57:M57" si="24">B31/10</f>
        <v>6000</v>
      </c>
      <c r="C57" s="72">
        <f t="shared" si="24"/>
        <v>7500</v>
      </c>
      <c r="D57" s="72">
        <f t="shared" si="24"/>
        <v>9000</v>
      </c>
      <c r="E57" s="72">
        <f t="shared" si="24"/>
        <v>10500</v>
      </c>
      <c r="F57" s="72">
        <f t="shared" si="24"/>
        <v>12000</v>
      </c>
      <c r="G57" s="72">
        <f t="shared" si="24"/>
        <v>13500</v>
      </c>
      <c r="H57" s="72">
        <f t="shared" si="24"/>
        <v>13500</v>
      </c>
      <c r="I57" s="72">
        <f t="shared" si="24"/>
        <v>13500</v>
      </c>
      <c r="J57" s="72">
        <f t="shared" si="24"/>
        <v>13500</v>
      </c>
      <c r="K57" s="72">
        <f t="shared" si="24"/>
        <v>15000</v>
      </c>
      <c r="L57" s="72">
        <f t="shared" si="24"/>
        <v>15000</v>
      </c>
      <c r="M57" s="72">
        <f t="shared" si="24"/>
        <v>15000</v>
      </c>
      <c r="N57" s="73">
        <f>SUM(B57:M57)</f>
        <v>144000</v>
      </c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A58" s="36" t="s">
        <v>154</v>
      </c>
      <c r="B58" s="57">
        <f t="shared" ref="B58:M58" si="25">B57/B9</f>
        <v>0.3</v>
      </c>
      <c r="C58" s="57">
        <f t="shared" si="25"/>
        <v>0.3</v>
      </c>
      <c r="D58" s="57">
        <f t="shared" si="25"/>
        <v>0.3</v>
      </c>
      <c r="E58" s="57">
        <f t="shared" si="25"/>
        <v>0.3</v>
      </c>
      <c r="F58" s="57">
        <f t="shared" si="25"/>
        <v>0.3</v>
      </c>
      <c r="G58" s="57">
        <f t="shared" si="25"/>
        <v>0.3</v>
      </c>
      <c r="H58" s="57">
        <f t="shared" si="25"/>
        <v>0.3</v>
      </c>
      <c r="I58" s="57">
        <f t="shared" si="25"/>
        <v>0.3</v>
      </c>
      <c r="J58" s="57">
        <f t="shared" si="25"/>
        <v>0.3</v>
      </c>
      <c r="K58" s="57">
        <f t="shared" si="25"/>
        <v>0.3</v>
      </c>
      <c r="L58" s="57">
        <f t="shared" si="25"/>
        <v>0.3</v>
      </c>
      <c r="M58" s="57">
        <f t="shared" si="25"/>
        <v>0.3125651177</v>
      </c>
      <c r="N58" s="57"/>
      <c r="O58" s="53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</sheetData>
  <mergeCells count="9">
    <mergeCell ref="A47:N47"/>
    <mergeCell ref="A51:N51"/>
    <mergeCell ref="A1:N1"/>
    <mergeCell ref="A3:N3"/>
    <mergeCell ref="A14:N14"/>
    <mergeCell ref="A21:N21"/>
    <mergeCell ref="A26:N26"/>
    <mergeCell ref="A27:N27"/>
    <mergeCell ref="A30:N3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0.0"/>
    <col customWidth="1" min="2" max="6" width="18.0"/>
    <col customWidth="1" min="7" max="26" width="8.71"/>
  </cols>
  <sheetData>
    <row r="1" ht="45.0" customHeight="1">
      <c r="A1" s="74" t="s">
        <v>242</v>
      </c>
      <c r="B1" s="15"/>
      <c r="C1" s="15"/>
      <c r="D1" s="15"/>
      <c r="E1" s="15"/>
      <c r="F1" s="16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27.75" customHeight="1">
      <c r="A3" s="75" t="s">
        <v>243</v>
      </c>
      <c r="B3" s="75" t="s">
        <v>244</v>
      </c>
      <c r="C3" s="75" t="s">
        <v>245</v>
      </c>
      <c r="D3" s="75" t="s">
        <v>246</v>
      </c>
      <c r="E3" s="75" t="s">
        <v>247</v>
      </c>
      <c r="F3" s="76" t="s">
        <v>248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24.0" customHeight="1">
      <c r="A4" s="77" t="s">
        <v>249</v>
      </c>
      <c r="B4" s="15"/>
      <c r="C4" s="15"/>
      <c r="D4" s="15"/>
      <c r="E4" s="15"/>
      <c r="F4" s="16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9.5" customHeight="1">
      <c r="A5" s="78" t="s">
        <v>250</v>
      </c>
      <c r="B5" s="41">
        <f>'Y1 2027 Bootstrap'!O17</f>
        <v>95905</v>
      </c>
      <c r="C5" s="41">
        <f>'Y2 2028 Pre-Seed'!N18</f>
        <v>525483.9</v>
      </c>
      <c r="D5" s="41">
        <f>'Y3 2029 Seed'!N19</f>
        <v>2322920.95</v>
      </c>
      <c r="E5" s="41">
        <f>'Y4 2030 Series A'!N20</f>
        <v>9450977.5</v>
      </c>
      <c r="F5" s="41">
        <f t="shared" ref="F5:F6" si="1">SUM(B5:E5)</f>
        <v>12395287.35</v>
      </c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9.5" customHeight="1">
      <c r="A6" s="78" t="s">
        <v>251</v>
      </c>
      <c r="B6" s="41">
        <f>'Y1 2027 Bootstrap'!O20</f>
        <v>68898.4</v>
      </c>
      <c r="C6" s="41">
        <f>'Y2 2028 Pre-Seed'!N21</f>
        <v>396481.5</v>
      </c>
      <c r="D6" s="41">
        <f>'Y3 2029 Seed'!N22</f>
        <v>1771192.35</v>
      </c>
      <c r="E6" s="41">
        <f>'Y4 2030 Series A'!N23</f>
        <v>7259882.5</v>
      </c>
      <c r="F6" s="41">
        <f t="shared" si="1"/>
        <v>9496454.75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9.5" customHeight="1">
      <c r="A7" s="79" t="s">
        <v>252</v>
      </c>
      <c r="B7" s="26">
        <f>IFERROR('Y1 2027 Bootstrap'!O20/'Y1 2027 Bootstrap'!O17,0)</f>
        <v>0.7184025859</v>
      </c>
      <c r="C7" s="26">
        <f>IFERROR('Y2 2028 Pre-Seed'!N21/'Y2 2028 Pre-Seed'!N18,0)</f>
        <v>0.7545074169</v>
      </c>
      <c r="D7" s="26">
        <f>IFERROR('Y3 2029 Seed'!N22/'Y3 2029 Seed'!N19,0)</f>
        <v>0.7624849868</v>
      </c>
      <c r="E7" s="26">
        <f>IFERROR('Y4 2030 Series A'!N23/'Y4 2030 Series A'!N20,0)</f>
        <v>0.7681620764</v>
      </c>
      <c r="F7" s="80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24.0" customHeight="1">
      <c r="A8" s="81" t="s">
        <v>253</v>
      </c>
      <c r="B8" s="15"/>
      <c r="C8" s="15"/>
      <c r="D8" s="15"/>
      <c r="E8" s="15"/>
      <c r="F8" s="16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9.5" customHeight="1">
      <c r="A9" s="36" t="s">
        <v>254</v>
      </c>
      <c r="B9" s="30">
        <f>'Y1 2027 Bootstrap'!O43</f>
        <v>59425</v>
      </c>
      <c r="C9" s="30">
        <f>'Y2 2028 Pre-Seed'!N46</f>
        <v>876325</v>
      </c>
      <c r="D9" s="30">
        <f>'Y3 2029 Seed'!N41</f>
        <v>3394159</v>
      </c>
      <c r="E9" s="30">
        <f>'Y4 2030 Series A'!N42</f>
        <v>11440000</v>
      </c>
      <c r="F9" s="30">
        <f t="shared" ref="F9:F11" si="2">SUM(B9:E9)</f>
        <v>15769909</v>
      </c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9.5" customHeight="1">
      <c r="A10" s="36" t="s">
        <v>255</v>
      </c>
      <c r="B10" s="30">
        <f>'Y1 2027 Bootstrap'!O38</f>
        <v>41925</v>
      </c>
      <c r="C10" s="30">
        <f>'Y2 2028 Pre-Seed'!N39</f>
        <v>318895</v>
      </c>
      <c r="D10" s="30">
        <f>'Y3 2029 Seed'!N34</f>
        <v>2398159</v>
      </c>
      <c r="E10" s="30">
        <f>'Y4 2030 Series A'!N35</f>
        <v>9244000</v>
      </c>
      <c r="F10" s="30">
        <f t="shared" si="2"/>
        <v>12002979</v>
      </c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36" t="s">
        <v>143</v>
      </c>
      <c r="B11" s="30">
        <f>'Y1 2027 Bootstrap'!O46</f>
        <v>9473.4</v>
      </c>
      <c r="C11" s="30">
        <f>'Y2 2028 Pre-Seed'!N49</f>
        <v>-479843.5</v>
      </c>
      <c r="D11" s="30">
        <f>'Y3 2029 Seed'!N44</f>
        <v>-1622966.65</v>
      </c>
      <c r="E11" s="30">
        <f>'Y4 2030 Series A'!N45</f>
        <v>-4180117.5</v>
      </c>
      <c r="F11" s="30">
        <f t="shared" si="2"/>
        <v>-6273454.25</v>
      </c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24.0" customHeight="1">
      <c r="A13" s="77" t="s">
        <v>256</v>
      </c>
      <c r="B13" s="15"/>
      <c r="C13" s="15"/>
      <c r="D13" s="15"/>
      <c r="E13" s="15"/>
      <c r="F13" s="16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9.5" customHeight="1">
      <c r="A14" s="36" t="s">
        <v>257</v>
      </c>
      <c r="B14" s="25">
        <f>'Y1 2027 Bootstrap'!O10</f>
        <v>4650</v>
      </c>
      <c r="C14" s="25">
        <f>'Y2 2028 Pre-Seed'!N10</f>
        <v>25115</v>
      </c>
      <c r="D14" s="25">
        <f>'Y3 2029 Seed'!N10</f>
        <v>159168</v>
      </c>
      <c r="E14" s="25">
        <f>'Y4 2030 Series A'!N10</f>
        <v>637158</v>
      </c>
      <c r="F14" s="22">
        <f t="shared" ref="F14:F15" si="3">SUM(B14:E14)</f>
        <v>826091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9.5" customHeight="1">
      <c r="A15" s="36" t="s">
        <v>258</v>
      </c>
      <c r="B15" s="25">
        <f>'Y1 2027 Bootstrap'!O4</f>
        <v>420</v>
      </c>
      <c r="C15" s="25">
        <f>'Y2 2028 Pre-Seed'!N4</f>
        <v>650</v>
      </c>
      <c r="D15" s="25">
        <f>'Y3 2029 Seed'!N4</f>
        <v>1500</v>
      </c>
      <c r="E15" s="25">
        <f>'Y4 2030 Series A'!N4</f>
        <v>3700</v>
      </c>
      <c r="F15" s="22">
        <f t="shared" si="3"/>
        <v>6270</v>
      </c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9.5" customHeight="1">
      <c r="A16" s="36" t="s">
        <v>259</v>
      </c>
      <c r="B16" s="30">
        <f>'Y1 2027 Bootstrap'!O50</f>
        <v>39473.4</v>
      </c>
      <c r="C16" s="30">
        <f>'Y2 2028 Pre-Seed'!N53</f>
        <v>309629.9</v>
      </c>
      <c r="D16" s="30">
        <f>'Y3 2029 Seed'!N48</f>
        <v>1186663.25</v>
      </c>
      <c r="E16" s="30">
        <f>'Y4 2030 Series A'!N49</f>
        <v>5006545.75</v>
      </c>
      <c r="F16" s="41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24.0" customHeight="1">
      <c r="A18" s="77" t="s">
        <v>260</v>
      </c>
      <c r="B18" s="15"/>
      <c r="C18" s="15"/>
      <c r="D18" s="15"/>
      <c r="E18" s="15"/>
      <c r="F18" s="16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9.5" customHeight="1">
      <c r="A19" s="79" t="s">
        <v>261</v>
      </c>
      <c r="B19" s="82" t="s">
        <v>262</v>
      </c>
      <c r="C19" s="82" t="s">
        <v>263</v>
      </c>
      <c r="D19" s="82" t="s">
        <v>264</v>
      </c>
      <c r="E19" s="82" t="s">
        <v>265</v>
      </c>
      <c r="F19" s="80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9.5" customHeight="1">
      <c r="A20" s="79" t="s">
        <v>266</v>
      </c>
      <c r="B20" s="83">
        <v>30000.0</v>
      </c>
      <c r="C20" s="42">
        <v>750000.0</v>
      </c>
      <c r="D20" s="42">
        <v>2500000.0</v>
      </c>
      <c r="E20" s="42">
        <v>8000000.0</v>
      </c>
      <c r="F20" s="80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9.5" customHeight="1">
      <c r="A21" s="79" t="s">
        <v>267</v>
      </c>
      <c r="B21" s="83">
        <v>1000000.0</v>
      </c>
      <c r="C21" s="42">
        <v>3750000.0</v>
      </c>
      <c r="D21" s="42">
        <v>1.0E7</v>
      </c>
      <c r="E21" s="42">
        <v>3.7E7</v>
      </c>
      <c r="F21" s="80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9.5" customHeight="1">
      <c r="A22" s="79" t="s">
        <v>268</v>
      </c>
      <c r="B22" s="82" t="s">
        <v>269</v>
      </c>
      <c r="C22" s="82" t="s">
        <v>270</v>
      </c>
      <c r="D22" s="82" t="s">
        <v>271</v>
      </c>
      <c r="E22" s="82" t="s">
        <v>272</v>
      </c>
      <c r="F22" s="80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5.75" customHeight="1">
      <c r="A24" s="84"/>
      <c r="B24" s="85"/>
      <c r="C24" s="85"/>
      <c r="D24" s="85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5.75" customHeight="1">
      <c r="A25" s="84"/>
      <c r="B25" s="85"/>
      <c r="C25" s="85"/>
      <c r="D25" s="85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5.75" customHeight="1">
      <c r="A26" s="84"/>
      <c r="B26" s="85"/>
      <c r="C26" s="85"/>
      <c r="D26" s="85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5.75" customHeight="1">
      <c r="A27" s="84"/>
      <c r="B27" s="85"/>
      <c r="C27" s="85"/>
      <c r="D27" s="85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5.75" customHeight="1">
      <c r="A28" s="84"/>
      <c r="B28" s="85"/>
      <c r="C28" s="85"/>
      <c r="D28" s="85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5.75" customHeight="1">
      <c r="A29" s="84"/>
      <c r="B29" s="86"/>
      <c r="C29" s="85"/>
      <c r="D29" s="85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5.75" customHeight="1">
      <c r="A30" s="84"/>
      <c r="B30" s="59"/>
      <c r="C30" s="86"/>
      <c r="D30" s="85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5.75" customHeight="1">
      <c r="A31" s="84"/>
      <c r="B31" s="59"/>
      <c r="C31" s="59"/>
      <c r="D31" s="86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5.75" customHeight="1">
      <c r="A32" s="8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  <row r="1001" ht="15.75" customHeight="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</row>
  </sheetData>
  <mergeCells count="5">
    <mergeCell ref="A1:F1"/>
    <mergeCell ref="A4:F4"/>
    <mergeCell ref="A8:F8"/>
    <mergeCell ref="A13:F13"/>
    <mergeCell ref="A18:F1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2026-06-18T22:21:18Z</dcterms:created>
  <dc:creator>openpyxl</dc:creator>
</cp:coreProperties>
</file>